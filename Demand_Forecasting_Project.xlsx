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Projects_Guthub/"/>
    </mc:Choice>
  </mc:AlternateContent>
  <xr:revisionPtr revIDLastSave="0" documentId="8_{B3967749-92EA-1448-99DF-9E221BD47B53}" xr6:coauthVersionLast="47" xr6:coauthVersionMax="47" xr10:uidLastSave="{00000000-0000-0000-0000-000000000000}"/>
  <bookViews>
    <workbookView xWindow="0" yWindow="0" windowWidth="28800" windowHeight="18000" xr2:uid="{77A8918F-9A6F-469B-848B-30CF4B41FB00}"/>
  </bookViews>
  <sheets>
    <sheet name="Supply_Chain_Foreca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1" i="1" l="1" a="1"/>
  <c r="AJ11" i="1" s="1"/>
  <c r="AJ10" i="1" a="1"/>
  <c r="AJ10" i="1" s="1"/>
  <c r="AJ9" i="1" a="1"/>
  <c r="AJ9" i="1" s="1"/>
  <c r="AJ8" i="1" a="1"/>
  <c r="AJ8" i="1" s="1"/>
  <c r="AJ7" i="1" a="1"/>
  <c r="AJ7" i="1" s="1"/>
  <c r="AJ6" i="1" a="1"/>
  <c r="AJ6" i="1" s="1"/>
  <c r="AI11" i="1" a="1"/>
  <c r="AI11" i="1" s="1"/>
  <c r="AI10" i="1" a="1"/>
  <c r="AI10" i="1" s="1"/>
  <c r="AI9" i="1" a="1"/>
  <c r="AI9" i="1" s="1"/>
  <c r="AI8" i="1" a="1"/>
  <c r="AI8" i="1" s="1"/>
  <c r="AI7" i="1" a="1"/>
  <c r="AI7" i="1" s="1"/>
  <c r="AI6" i="1" a="1"/>
  <c r="AI6" i="1" s="1"/>
  <c r="AH11" i="1" a="1"/>
  <c r="AH11" i="1" s="1"/>
  <c r="AH10" i="1" a="1"/>
  <c r="AH10" i="1" s="1"/>
  <c r="AH9" i="1" a="1"/>
  <c r="AH9" i="1"/>
  <c r="AH8" i="1" a="1"/>
  <c r="AH8" i="1" s="1"/>
  <c r="AH7" i="1" a="1"/>
  <c r="AH7" i="1" s="1"/>
  <c r="AH6" i="1" a="1"/>
  <c r="AH6" i="1" s="1"/>
  <c r="AG10" i="1" a="1"/>
  <c r="AG10" i="1" s="1"/>
  <c r="AG11" i="1" a="1"/>
  <c r="AG11" i="1" s="1"/>
  <c r="AG9" i="1" a="1"/>
  <c r="AG9" i="1" s="1"/>
  <c r="AG8" i="1" a="1"/>
  <c r="AG8" i="1" s="1"/>
  <c r="AG7" i="1" a="1"/>
  <c r="AG7" i="1" s="1"/>
  <c r="AG6" i="1" a="1"/>
  <c r="AG6" i="1" s="1"/>
  <c r="AF11" i="1" a="1"/>
  <c r="AF11" i="1" s="1"/>
  <c r="AF10" i="1" a="1"/>
  <c r="AF10" i="1" s="1"/>
  <c r="AF9" i="1" a="1"/>
  <c r="AF9" i="1" s="1"/>
  <c r="AF8" i="1" a="1"/>
  <c r="AF8" i="1" s="1"/>
  <c r="AF7" i="1" a="1"/>
  <c r="AF7" i="1" s="1"/>
  <c r="AF6" i="1" a="1"/>
  <c r="AF6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W3" i="1"/>
  <c r="W7" i="1"/>
  <c r="W11" i="1"/>
  <c r="W15" i="1"/>
  <c r="W19" i="1"/>
  <c r="W23" i="1"/>
  <c r="W27" i="1"/>
  <c r="W31" i="1"/>
  <c r="W35" i="1"/>
  <c r="W39" i="1"/>
  <c r="W43" i="1"/>
  <c r="W47" i="1"/>
  <c r="W51" i="1"/>
  <c r="W55" i="1"/>
  <c r="W59" i="1"/>
  <c r="W63" i="1"/>
  <c r="W67" i="1"/>
  <c r="W71" i="1"/>
  <c r="W75" i="1"/>
  <c r="W79" i="1"/>
  <c r="W83" i="1"/>
  <c r="W87" i="1"/>
  <c r="W91" i="1"/>
  <c r="W95" i="1"/>
  <c r="W99" i="1"/>
  <c r="W4" i="1"/>
  <c r="W8" i="1"/>
  <c r="W12" i="1"/>
  <c r="W16" i="1"/>
  <c r="W20" i="1"/>
  <c r="W24" i="1"/>
  <c r="W28" i="1"/>
  <c r="W32" i="1"/>
  <c r="W36" i="1"/>
  <c r="W40" i="1"/>
  <c r="W44" i="1"/>
  <c r="W48" i="1"/>
  <c r="W52" i="1"/>
  <c r="W56" i="1"/>
  <c r="W60" i="1"/>
  <c r="W64" i="1"/>
  <c r="W68" i="1"/>
  <c r="W72" i="1"/>
  <c r="W76" i="1"/>
  <c r="W80" i="1"/>
  <c r="W84" i="1"/>
  <c r="W88" i="1"/>
  <c r="W92" i="1"/>
  <c r="W96" i="1"/>
  <c r="W100" i="1"/>
  <c r="W86" i="1"/>
  <c r="W5" i="1"/>
  <c r="W9" i="1"/>
  <c r="W13" i="1"/>
  <c r="W17" i="1"/>
  <c r="W21" i="1"/>
  <c r="W25" i="1"/>
  <c r="W29" i="1"/>
  <c r="W33" i="1"/>
  <c r="W37" i="1"/>
  <c r="W41" i="1"/>
  <c r="W45" i="1"/>
  <c r="W49" i="1"/>
  <c r="W53" i="1"/>
  <c r="W57" i="1"/>
  <c r="W61" i="1"/>
  <c r="W65" i="1"/>
  <c r="W69" i="1"/>
  <c r="W73" i="1"/>
  <c r="W77" i="1"/>
  <c r="W81" i="1"/>
  <c r="W85" i="1"/>
  <c r="W89" i="1"/>
  <c r="W93" i="1"/>
  <c r="W97" i="1"/>
  <c r="W101" i="1"/>
  <c r="W82" i="1"/>
  <c r="W98" i="1"/>
  <c r="W6" i="1"/>
  <c r="W10" i="1"/>
  <c r="W14" i="1"/>
  <c r="W18" i="1"/>
  <c r="W22" i="1"/>
  <c r="W26" i="1"/>
  <c r="W30" i="1"/>
  <c r="W34" i="1"/>
  <c r="W38" i="1"/>
  <c r="W42" i="1"/>
  <c r="W46" i="1"/>
  <c r="W50" i="1"/>
  <c r="W54" i="1"/>
  <c r="W58" i="1"/>
  <c r="W62" i="1"/>
  <c r="W66" i="1"/>
  <c r="W70" i="1"/>
  <c r="W74" i="1"/>
  <c r="W78" i="1"/>
  <c r="W90" i="1"/>
  <c r="W94" i="1"/>
  <c r="W2" i="1"/>
  <c r="U2" i="1"/>
  <c r="U3" i="1" s="1"/>
  <c r="U4" i="1" s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<sst xmlns="http://schemas.openxmlformats.org/spreadsheetml/2006/main" count="36" uniqueCount="36">
  <si>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Period</t>
  </si>
  <si>
    <t>Actual_Demand</t>
  </si>
  <si>
    <t>Forecast_Demand</t>
  </si>
  <si>
    <t>Sales_Volume</t>
  </si>
  <si>
    <t>Average_Inventory</t>
  </si>
  <si>
    <t>Inventory_Turnover</t>
  </si>
  <si>
    <t>Days_Inventory_On_Hand</t>
  </si>
  <si>
    <t>Stockout_Rate_%</t>
  </si>
  <si>
    <t>Order_Fulfilment_Rate_%</t>
  </si>
  <si>
    <t>On_Time_Delivery_%</t>
  </si>
  <si>
    <t>Backorder_Units</t>
  </si>
  <si>
    <t>Order_Cycle_Time_Days</t>
  </si>
  <si>
    <t>Supplier_Lead_Time_Days</t>
  </si>
  <si>
    <t>Lead_Time_Variability_Days</t>
  </si>
  <si>
    <t>Throughput_Time_Days</t>
  </si>
  <si>
    <t>Supply_Chain_Cost_per_Unit</t>
  </si>
  <si>
    <t>Capacity_Utilisation_%</t>
  </si>
  <si>
    <t>Naïve Forecast</t>
  </si>
  <si>
    <t>3‑Period Moving Average Forecast</t>
  </si>
  <si>
    <t>4‑Period Moving Average Forecast</t>
  </si>
  <si>
    <t>Simple Exponential Smoothing (SES)</t>
  </si>
  <si>
    <t>Linear Trend Forecast</t>
  </si>
  <si>
    <t>Exponential Smoothing with Seasonality (ETS)</t>
  </si>
  <si>
    <t>Method</t>
  </si>
  <si>
    <t>Naïve</t>
  </si>
  <si>
    <t>3- MA</t>
  </si>
  <si>
    <t>SES</t>
  </si>
  <si>
    <t>Trend</t>
  </si>
  <si>
    <t>ETS</t>
  </si>
  <si>
    <t>MAPE</t>
  </si>
  <si>
    <t>MAD</t>
  </si>
  <si>
    <t>RMSE</t>
  </si>
  <si>
    <t>Bias</t>
  </si>
  <si>
    <t>Accuracy</t>
  </si>
  <si>
    <t>KPI for Each Model</t>
  </si>
  <si>
    <t>4-MA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</si>
</sst>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ont="1" applyFill="1"/>
    <xf numFmtId="0" fontId="0" fillId="33" borderId="10" xfId="0" applyFill="1" applyBorder="1"/>
    <xf numFmtId="2" fontId="0" fillId="33" borderId="10" xfId="0" applyNumberFormat="1" applyFill="1" applyBorder="1"/>
    <xf numFmtId="0" fontId="0" fillId="0" borderId="10" xfId="0" applyBorder="1"/>
    <xf numFmtId="0" fontId="17" fillId="34" borderId="10" xfId="0" applyFont="1" applyFill="1" applyBorder="1"/>
    <xf numFmtId="0" fontId="17" fillId="34" borderId="10" xfId="0" applyFont="1" applyFill="1" applyBorder="1" applyAlignment="1">
      <alignment horizontal="center"/>
    </xf>
    <xf numFmtId="0" fontId="17" fillId="34" borderId="0" xfId="0" applyFont="1" applyFill="1" applyBorder="1"/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Actual Demand Vs Forecast 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Supply_Chain_Forecasting!$B$1</c:f>
              <c:strCache>
                <c:ptCount val="1"/>
                <c:pt idx="0">
                  <c:v>Actual_Demand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Supply_Chain_Forecasting!$B$2:$B$101</c:f>
              <c:numCache>
                <c:formatCode>General</c:formatCode>
                <c:ptCount val="100"/>
                <c:pt idx="0">
                  <c:v>182</c:v>
                </c:pt>
                <c:pt idx="1">
                  <c:v>131</c:v>
                </c:pt>
                <c:pt idx="2">
                  <c:v>172</c:v>
                </c:pt>
                <c:pt idx="3">
                  <c:v>94</c:v>
                </c:pt>
                <c:pt idx="4">
                  <c:v>186</c:v>
                </c:pt>
                <c:pt idx="5">
                  <c:v>151</c:v>
                </c:pt>
                <c:pt idx="6">
                  <c:v>140</c:v>
                </c:pt>
                <c:pt idx="7">
                  <c:v>100</c:v>
                </c:pt>
                <c:pt idx="8">
                  <c:v>182</c:v>
                </c:pt>
                <c:pt idx="9">
                  <c:v>162</c:v>
                </c:pt>
                <c:pt idx="10">
                  <c:v>166</c:v>
                </c:pt>
                <c:pt idx="11">
                  <c:v>154</c:v>
                </c:pt>
                <c:pt idx="12">
                  <c:v>154</c:v>
                </c:pt>
                <c:pt idx="13">
                  <c:v>167</c:v>
                </c:pt>
                <c:pt idx="14">
                  <c:v>196</c:v>
                </c:pt>
                <c:pt idx="15">
                  <c:v>179</c:v>
                </c:pt>
                <c:pt idx="16">
                  <c:v>183</c:v>
                </c:pt>
                <c:pt idx="17">
                  <c:v>103</c:v>
                </c:pt>
                <c:pt idx="18">
                  <c:v>82</c:v>
                </c:pt>
                <c:pt idx="19">
                  <c:v>101</c:v>
                </c:pt>
                <c:pt idx="20">
                  <c:v>132</c:v>
                </c:pt>
                <c:pt idx="21">
                  <c:v>81</c:v>
                </c:pt>
                <c:pt idx="22">
                  <c:v>167</c:v>
                </c:pt>
                <c:pt idx="23">
                  <c:v>187</c:v>
                </c:pt>
                <c:pt idx="24">
                  <c:v>109</c:v>
                </c:pt>
                <c:pt idx="25">
                  <c:v>117</c:v>
                </c:pt>
                <c:pt idx="26">
                  <c:v>81</c:v>
                </c:pt>
                <c:pt idx="27">
                  <c:v>143</c:v>
                </c:pt>
                <c:pt idx="28">
                  <c:v>139</c:v>
                </c:pt>
                <c:pt idx="29">
                  <c:v>100</c:v>
                </c:pt>
                <c:pt idx="30">
                  <c:v>112</c:v>
                </c:pt>
                <c:pt idx="31">
                  <c:v>155</c:v>
                </c:pt>
                <c:pt idx="32">
                  <c:v>137</c:v>
                </c:pt>
                <c:pt idx="33">
                  <c:v>101</c:v>
                </c:pt>
                <c:pt idx="34">
                  <c:v>187</c:v>
                </c:pt>
                <c:pt idx="35">
                  <c:v>168</c:v>
                </c:pt>
                <c:pt idx="36">
                  <c:v>128</c:v>
                </c:pt>
                <c:pt idx="37">
                  <c:v>170</c:v>
                </c:pt>
                <c:pt idx="38">
                  <c:v>138</c:v>
                </c:pt>
                <c:pt idx="39">
                  <c:v>121</c:v>
                </c:pt>
                <c:pt idx="40">
                  <c:v>171</c:v>
                </c:pt>
                <c:pt idx="41">
                  <c:v>139</c:v>
                </c:pt>
                <c:pt idx="42">
                  <c:v>159</c:v>
                </c:pt>
                <c:pt idx="43">
                  <c:v>94</c:v>
                </c:pt>
                <c:pt idx="44">
                  <c:v>141</c:v>
                </c:pt>
                <c:pt idx="45">
                  <c:v>141</c:v>
                </c:pt>
                <c:pt idx="46">
                  <c:v>126</c:v>
                </c:pt>
                <c:pt idx="47">
                  <c:v>141</c:v>
                </c:pt>
                <c:pt idx="48">
                  <c:v>130</c:v>
                </c:pt>
                <c:pt idx="49">
                  <c:v>187</c:v>
                </c:pt>
                <c:pt idx="50">
                  <c:v>134</c:v>
                </c:pt>
                <c:pt idx="51">
                  <c:v>195</c:v>
                </c:pt>
                <c:pt idx="52">
                  <c:v>143</c:v>
                </c:pt>
                <c:pt idx="53">
                  <c:v>82</c:v>
                </c:pt>
                <c:pt idx="54">
                  <c:v>180</c:v>
                </c:pt>
                <c:pt idx="55">
                  <c:v>130</c:v>
                </c:pt>
                <c:pt idx="56">
                  <c:v>86</c:v>
                </c:pt>
                <c:pt idx="57">
                  <c:v>100</c:v>
                </c:pt>
                <c:pt idx="58">
                  <c:v>152</c:v>
                </c:pt>
                <c:pt idx="59">
                  <c:v>118</c:v>
                </c:pt>
                <c:pt idx="60">
                  <c:v>97</c:v>
                </c:pt>
                <c:pt idx="61">
                  <c:v>83</c:v>
                </c:pt>
                <c:pt idx="62">
                  <c:v>168</c:v>
                </c:pt>
                <c:pt idx="63">
                  <c:v>139</c:v>
                </c:pt>
                <c:pt idx="64">
                  <c:v>93</c:v>
                </c:pt>
                <c:pt idx="65">
                  <c:v>193</c:v>
                </c:pt>
                <c:pt idx="66">
                  <c:v>88</c:v>
                </c:pt>
                <c:pt idx="67">
                  <c:v>169</c:v>
                </c:pt>
                <c:pt idx="68">
                  <c:v>132</c:v>
                </c:pt>
                <c:pt idx="69">
                  <c:v>81</c:v>
                </c:pt>
                <c:pt idx="70">
                  <c:v>163</c:v>
                </c:pt>
                <c:pt idx="71">
                  <c:v>171</c:v>
                </c:pt>
                <c:pt idx="72">
                  <c:v>190</c:v>
                </c:pt>
                <c:pt idx="73">
                  <c:v>139</c:v>
                </c:pt>
                <c:pt idx="74">
                  <c:v>150</c:v>
                </c:pt>
                <c:pt idx="75">
                  <c:v>123</c:v>
                </c:pt>
                <c:pt idx="76">
                  <c:v>87</c:v>
                </c:pt>
                <c:pt idx="77">
                  <c:v>126</c:v>
                </c:pt>
                <c:pt idx="78">
                  <c:v>114</c:v>
                </c:pt>
                <c:pt idx="79">
                  <c:v>157</c:v>
                </c:pt>
                <c:pt idx="80">
                  <c:v>160</c:v>
                </c:pt>
                <c:pt idx="81">
                  <c:v>115</c:v>
                </c:pt>
                <c:pt idx="82">
                  <c:v>129</c:v>
                </c:pt>
                <c:pt idx="83">
                  <c:v>183</c:v>
                </c:pt>
                <c:pt idx="84">
                  <c:v>83</c:v>
                </c:pt>
                <c:pt idx="85">
                  <c:v>81</c:v>
                </c:pt>
                <c:pt idx="86">
                  <c:v>85</c:v>
                </c:pt>
                <c:pt idx="87">
                  <c:v>133</c:v>
                </c:pt>
                <c:pt idx="88">
                  <c:v>185</c:v>
                </c:pt>
                <c:pt idx="89">
                  <c:v>83</c:v>
                </c:pt>
                <c:pt idx="90">
                  <c:v>133</c:v>
                </c:pt>
                <c:pt idx="91">
                  <c:v>172</c:v>
                </c:pt>
                <c:pt idx="92">
                  <c:v>142</c:v>
                </c:pt>
                <c:pt idx="93">
                  <c:v>97</c:v>
                </c:pt>
                <c:pt idx="94">
                  <c:v>169</c:v>
                </c:pt>
                <c:pt idx="95">
                  <c:v>123</c:v>
                </c:pt>
                <c:pt idx="96">
                  <c:v>113</c:v>
                </c:pt>
                <c:pt idx="97">
                  <c:v>153</c:v>
                </c:pt>
                <c:pt idx="98">
                  <c:v>141</c:v>
                </c:pt>
                <c:pt idx="99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0-0140-95AC-3AB8926FA4DA}"/>
            </c:ext>
          </c:extLst>
        </c:ser>
        <c:ser>
          <c:idx val="2"/>
          <c:order val="1"/>
          <c:tx>
            <c:strRef>
              <c:f>Supply_Chain_Forecasting!$U$1</c:f>
              <c:strCache>
                <c:ptCount val="1"/>
                <c:pt idx="0">
                  <c:v>Simple Exponential Smoothing (SES)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Supply_Chain_Forecasting!$U$2:$U$101</c:f>
              <c:numCache>
                <c:formatCode>0.00</c:formatCode>
                <c:ptCount val="100"/>
                <c:pt idx="0">
                  <c:v>182</c:v>
                </c:pt>
                <c:pt idx="1">
                  <c:v>166.7</c:v>
                </c:pt>
                <c:pt idx="2">
                  <c:v>168.29</c:v>
                </c:pt>
                <c:pt idx="3">
                  <c:v>146.00299999999999</c:v>
                </c:pt>
                <c:pt idx="4">
                  <c:v>158.00209999999998</c:v>
                </c:pt>
                <c:pt idx="5">
                  <c:v>155.90146999999996</c:v>
                </c:pt>
                <c:pt idx="6">
                  <c:v>151.13102899999996</c:v>
                </c:pt>
                <c:pt idx="7">
                  <c:v>135.79172029999995</c:v>
                </c:pt>
                <c:pt idx="8">
                  <c:v>149.65420420999996</c:v>
                </c:pt>
                <c:pt idx="9">
                  <c:v>153.35794294699997</c:v>
                </c:pt>
                <c:pt idx="10">
                  <c:v>157.15056006289996</c:v>
                </c:pt>
                <c:pt idx="11">
                  <c:v>156.20539204402996</c:v>
                </c:pt>
                <c:pt idx="12">
                  <c:v>155.54377443082097</c:v>
                </c:pt>
                <c:pt idx="13">
                  <c:v>158.98064210157469</c:v>
                </c:pt>
                <c:pt idx="14">
                  <c:v>170.08644947110227</c:v>
                </c:pt>
                <c:pt idx="15">
                  <c:v>172.76051462977156</c:v>
                </c:pt>
                <c:pt idx="16">
                  <c:v>175.83236024084007</c:v>
                </c:pt>
                <c:pt idx="17">
                  <c:v>153.98265216858803</c:v>
                </c:pt>
                <c:pt idx="18">
                  <c:v>132.38785651801163</c:v>
                </c:pt>
                <c:pt idx="19">
                  <c:v>122.97149956260813</c:v>
                </c:pt>
                <c:pt idx="20">
                  <c:v>125.68004969382568</c:v>
                </c:pt>
                <c:pt idx="21">
                  <c:v>112.27603478567796</c:v>
                </c:pt>
                <c:pt idx="22">
                  <c:v>128.69322434997457</c:v>
                </c:pt>
                <c:pt idx="23">
                  <c:v>146.18525704498219</c:v>
                </c:pt>
                <c:pt idx="24">
                  <c:v>135.02967993148752</c:v>
                </c:pt>
                <c:pt idx="25">
                  <c:v>129.62077595204127</c:v>
                </c:pt>
                <c:pt idx="26">
                  <c:v>115.03454316642888</c:v>
                </c:pt>
                <c:pt idx="27">
                  <c:v>123.42418021650022</c:v>
                </c:pt>
                <c:pt idx="28">
                  <c:v>128.09692615155015</c:v>
                </c:pt>
                <c:pt idx="29">
                  <c:v>119.66784830608511</c:v>
                </c:pt>
                <c:pt idx="30">
                  <c:v>117.36749381425957</c:v>
                </c:pt>
                <c:pt idx="31">
                  <c:v>128.65724566998171</c:v>
                </c:pt>
                <c:pt idx="32">
                  <c:v>131.16007196898718</c:v>
                </c:pt>
                <c:pt idx="33">
                  <c:v>122.11205037829102</c:v>
                </c:pt>
                <c:pt idx="34">
                  <c:v>141.57843526480372</c:v>
                </c:pt>
                <c:pt idx="35">
                  <c:v>149.50490468536259</c:v>
                </c:pt>
                <c:pt idx="36">
                  <c:v>143.05343327975382</c:v>
                </c:pt>
                <c:pt idx="37">
                  <c:v>151.13740329582765</c:v>
                </c:pt>
                <c:pt idx="38">
                  <c:v>147.19618230707934</c:v>
                </c:pt>
                <c:pt idx="39">
                  <c:v>139.33732761495554</c:v>
                </c:pt>
                <c:pt idx="40">
                  <c:v>148.83612933046885</c:v>
                </c:pt>
                <c:pt idx="41">
                  <c:v>145.8852905313282</c:v>
                </c:pt>
                <c:pt idx="42">
                  <c:v>149.81970337192973</c:v>
                </c:pt>
                <c:pt idx="43">
                  <c:v>133.07379236035081</c:v>
                </c:pt>
                <c:pt idx="44">
                  <c:v>135.45165465224557</c:v>
                </c:pt>
                <c:pt idx="45">
                  <c:v>137.11615825657191</c:v>
                </c:pt>
                <c:pt idx="46">
                  <c:v>133.78131077960035</c:v>
                </c:pt>
                <c:pt idx="47">
                  <c:v>135.94691754572023</c:v>
                </c:pt>
                <c:pt idx="48">
                  <c:v>134.16284228200414</c:v>
                </c:pt>
                <c:pt idx="49">
                  <c:v>150.01398959740288</c:v>
                </c:pt>
                <c:pt idx="50">
                  <c:v>145.209792718182</c:v>
                </c:pt>
                <c:pt idx="51">
                  <c:v>160.1468549027274</c:v>
                </c:pt>
                <c:pt idx="52">
                  <c:v>155.00279843190916</c:v>
                </c:pt>
                <c:pt idx="53">
                  <c:v>133.10195890233641</c:v>
                </c:pt>
                <c:pt idx="54">
                  <c:v>147.17137123163548</c:v>
                </c:pt>
                <c:pt idx="55">
                  <c:v>142.01995986214484</c:v>
                </c:pt>
                <c:pt idx="56">
                  <c:v>125.21397190350139</c:v>
                </c:pt>
                <c:pt idx="57">
                  <c:v>117.64978033245097</c:v>
                </c:pt>
                <c:pt idx="58">
                  <c:v>127.95484623271568</c:v>
                </c:pt>
                <c:pt idx="59">
                  <c:v>124.96839236290097</c:v>
                </c:pt>
                <c:pt idx="60">
                  <c:v>116.57787465403067</c:v>
                </c:pt>
                <c:pt idx="61">
                  <c:v>106.50451225782146</c:v>
                </c:pt>
                <c:pt idx="62">
                  <c:v>124.95315858047502</c:v>
                </c:pt>
                <c:pt idx="63">
                  <c:v>129.16721100633251</c:v>
                </c:pt>
                <c:pt idx="64">
                  <c:v>118.31704770443275</c:v>
                </c:pt>
                <c:pt idx="65">
                  <c:v>140.72193339310292</c:v>
                </c:pt>
                <c:pt idx="66">
                  <c:v>124.90535337517204</c:v>
                </c:pt>
                <c:pt idx="67">
                  <c:v>138.13374736262043</c:v>
                </c:pt>
                <c:pt idx="68">
                  <c:v>136.29362315383429</c:v>
                </c:pt>
                <c:pt idx="69">
                  <c:v>119.70553620768399</c:v>
                </c:pt>
                <c:pt idx="70">
                  <c:v>132.69387534537879</c:v>
                </c:pt>
                <c:pt idx="71">
                  <c:v>144.18571274176514</c:v>
                </c:pt>
                <c:pt idx="72">
                  <c:v>157.9299989192356</c:v>
                </c:pt>
                <c:pt idx="73">
                  <c:v>152.25099924346492</c:v>
                </c:pt>
                <c:pt idx="74">
                  <c:v>151.57569947042543</c:v>
                </c:pt>
                <c:pt idx="75">
                  <c:v>143.00298962929779</c:v>
                </c:pt>
                <c:pt idx="76">
                  <c:v>126.20209274050843</c:v>
                </c:pt>
                <c:pt idx="77">
                  <c:v>126.14146491835589</c:v>
                </c:pt>
                <c:pt idx="78">
                  <c:v>122.4990254428491</c:v>
                </c:pt>
                <c:pt idx="79">
                  <c:v>132.84931780999437</c:v>
                </c:pt>
                <c:pt idx="80">
                  <c:v>140.99452246699605</c:v>
                </c:pt>
                <c:pt idx="81">
                  <c:v>133.19616572689722</c:v>
                </c:pt>
                <c:pt idx="82">
                  <c:v>131.93731600882805</c:v>
                </c:pt>
                <c:pt idx="83">
                  <c:v>147.25612120617961</c:v>
                </c:pt>
                <c:pt idx="84">
                  <c:v>127.97928484432572</c:v>
                </c:pt>
                <c:pt idx="85">
                  <c:v>113.88549939102799</c:v>
                </c:pt>
                <c:pt idx="86">
                  <c:v>105.21984957371959</c:v>
                </c:pt>
                <c:pt idx="87">
                  <c:v>113.5538947016037</c:v>
                </c:pt>
                <c:pt idx="88">
                  <c:v>134.98772629112258</c:v>
                </c:pt>
                <c:pt idx="89">
                  <c:v>119.39140840378579</c:v>
                </c:pt>
                <c:pt idx="90">
                  <c:v>123.47398588265006</c:v>
                </c:pt>
                <c:pt idx="91">
                  <c:v>138.03179011785502</c:v>
                </c:pt>
                <c:pt idx="92">
                  <c:v>139.22225308249853</c:v>
                </c:pt>
                <c:pt idx="93">
                  <c:v>126.55557715774896</c:v>
                </c:pt>
                <c:pt idx="94">
                  <c:v>139.28890401042426</c:v>
                </c:pt>
                <c:pt idx="95">
                  <c:v>134.40223280729697</c:v>
                </c:pt>
                <c:pt idx="96">
                  <c:v>127.98156296510788</c:v>
                </c:pt>
                <c:pt idx="97">
                  <c:v>135.4870940755755</c:v>
                </c:pt>
                <c:pt idx="98">
                  <c:v>137.14096585290284</c:v>
                </c:pt>
                <c:pt idx="99">
                  <c:v>149.69867609703198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D10-0140-95AC-3AB8926F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590912"/>
        <c:axId val="1875592640"/>
      </c:lineChart>
      <c:catAx>
        <c:axId val="1875590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592640"/>
        <c:crosses val="autoZero"/>
        <c:auto val="1"/>
        <c:lblAlgn val="ctr"/>
        <c:lblOffset val="100"/>
        <c:noMultiLvlLbl val="0"/>
      </c:catAx>
      <c:valAx>
        <c:axId val="187559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59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Inventory</a:t>
            </a:r>
            <a:r>
              <a:rPr lang="en-US" sz="1600" b="1" baseline="0"/>
              <a:t> Vs Forecast Chart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Supply_Chain_Forecasting!$B$1</c:f>
              <c:strCache>
                <c:ptCount val="1"/>
                <c:pt idx="0">
                  <c:v>Actual_Demand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Supply_Chain_Forecasting!$B$2:$B$101</c:f>
              <c:numCache>
                <c:formatCode>General</c:formatCode>
                <c:ptCount val="100"/>
                <c:pt idx="0">
                  <c:v>182</c:v>
                </c:pt>
                <c:pt idx="1">
                  <c:v>131</c:v>
                </c:pt>
                <c:pt idx="2">
                  <c:v>172</c:v>
                </c:pt>
                <c:pt idx="3">
                  <c:v>94</c:v>
                </c:pt>
                <c:pt idx="4">
                  <c:v>186</c:v>
                </c:pt>
                <c:pt idx="5">
                  <c:v>151</c:v>
                </c:pt>
                <c:pt idx="6">
                  <c:v>140</c:v>
                </c:pt>
                <c:pt idx="7">
                  <c:v>100</c:v>
                </c:pt>
                <c:pt idx="8">
                  <c:v>182</c:v>
                </c:pt>
                <c:pt idx="9">
                  <c:v>162</c:v>
                </c:pt>
                <c:pt idx="10">
                  <c:v>166</c:v>
                </c:pt>
                <c:pt idx="11">
                  <c:v>154</c:v>
                </c:pt>
                <c:pt idx="12">
                  <c:v>154</c:v>
                </c:pt>
                <c:pt idx="13">
                  <c:v>167</c:v>
                </c:pt>
                <c:pt idx="14">
                  <c:v>196</c:v>
                </c:pt>
                <c:pt idx="15">
                  <c:v>179</c:v>
                </c:pt>
                <c:pt idx="16">
                  <c:v>183</c:v>
                </c:pt>
                <c:pt idx="17">
                  <c:v>103</c:v>
                </c:pt>
                <c:pt idx="18">
                  <c:v>82</c:v>
                </c:pt>
                <c:pt idx="19">
                  <c:v>101</c:v>
                </c:pt>
                <c:pt idx="20">
                  <c:v>132</c:v>
                </c:pt>
                <c:pt idx="21">
                  <c:v>81</c:v>
                </c:pt>
                <c:pt idx="22">
                  <c:v>167</c:v>
                </c:pt>
                <c:pt idx="23">
                  <c:v>187</c:v>
                </c:pt>
                <c:pt idx="24">
                  <c:v>109</c:v>
                </c:pt>
                <c:pt idx="25">
                  <c:v>117</c:v>
                </c:pt>
                <c:pt idx="26">
                  <c:v>81</c:v>
                </c:pt>
                <c:pt idx="27">
                  <c:v>143</c:v>
                </c:pt>
                <c:pt idx="28">
                  <c:v>139</c:v>
                </c:pt>
                <c:pt idx="29">
                  <c:v>100</c:v>
                </c:pt>
                <c:pt idx="30">
                  <c:v>112</c:v>
                </c:pt>
                <c:pt idx="31">
                  <c:v>155</c:v>
                </c:pt>
                <c:pt idx="32">
                  <c:v>137</c:v>
                </c:pt>
                <c:pt idx="33">
                  <c:v>101</c:v>
                </c:pt>
                <c:pt idx="34">
                  <c:v>187</c:v>
                </c:pt>
                <c:pt idx="35">
                  <c:v>168</c:v>
                </c:pt>
                <c:pt idx="36">
                  <c:v>128</c:v>
                </c:pt>
                <c:pt idx="37">
                  <c:v>170</c:v>
                </c:pt>
                <c:pt idx="38">
                  <c:v>138</c:v>
                </c:pt>
                <c:pt idx="39">
                  <c:v>121</c:v>
                </c:pt>
                <c:pt idx="40">
                  <c:v>171</c:v>
                </c:pt>
                <c:pt idx="41">
                  <c:v>139</c:v>
                </c:pt>
                <c:pt idx="42">
                  <c:v>159</c:v>
                </c:pt>
                <c:pt idx="43">
                  <c:v>94</c:v>
                </c:pt>
                <c:pt idx="44">
                  <c:v>141</c:v>
                </c:pt>
                <c:pt idx="45">
                  <c:v>141</c:v>
                </c:pt>
                <c:pt idx="46">
                  <c:v>126</c:v>
                </c:pt>
                <c:pt idx="47">
                  <c:v>141</c:v>
                </c:pt>
                <c:pt idx="48">
                  <c:v>130</c:v>
                </c:pt>
                <c:pt idx="49">
                  <c:v>187</c:v>
                </c:pt>
                <c:pt idx="50">
                  <c:v>134</c:v>
                </c:pt>
                <c:pt idx="51">
                  <c:v>195</c:v>
                </c:pt>
                <c:pt idx="52">
                  <c:v>143</c:v>
                </c:pt>
                <c:pt idx="53">
                  <c:v>82</c:v>
                </c:pt>
                <c:pt idx="54">
                  <c:v>180</c:v>
                </c:pt>
                <c:pt idx="55">
                  <c:v>130</c:v>
                </c:pt>
                <c:pt idx="56">
                  <c:v>86</c:v>
                </c:pt>
                <c:pt idx="57">
                  <c:v>100</c:v>
                </c:pt>
                <c:pt idx="58">
                  <c:v>152</c:v>
                </c:pt>
                <c:pt idx="59">
                  <c:v>118</c:v>
                </c:pt>
                <c:pt idx="60">
                  <c:v>97</c:v>
                </c:pt>
                <c:pt idx="61">
                  <c:v>83</c:v>
                </c:pt>
                <c:pt idx="62">
                  <c:v>168</c:v>
                </c:pt>
                <c:pt idx="63">
                  <c:v>139</c:v>
                </c:pt>
                <c:pt idx="64">
                  <c:v>93</c:v>
                </c:pt>
                <c:pt idx="65">
                  <c:v>193</c:v>
                </c:pt>
                <c:pt idx="66">
                  <c:v>88</c:v>
                </c:pt>
                <c:pt idx="67">
                  <c:v>169</c:v>
                </c:pt>
                <c:pt idx="68">
                  <c:v>132</c:v>
                </c:pt>
                <c:pt idx="69">
                  <c:v>81</c:v>
                </c:pt>
                <c:pt idx="70">
                  <c:v>163</c:v>
                </c:pt>
                <c:pt idx="71">
                  <c:v>171</c:v>
                </c:pt>
                <c:pt idx="72">
                  <c:v>190</c:v>
                </c:pt>
                <c:pt idx="73">
                  <c:v>139</c:v>
                </c:pt>
                <c:pt idx="74">
                  <c:v>150</c:v>
                </c:pt>
                <c:pt idx="75">
                  <c:v>123</c:v>
                </c:pt>
                <c:pt idx="76">
                  <c:v>87</c:v>
                </c:pt>
                <c:pt idx="77">
                  <c:v>126</c:v>
                </c:pt>
                <c:pt idx="78">
                  <c:v>114</c:v>
                </c:pt>
                <c:pt idx="79">
                  <c:v>157</c:v>
                </c:pt>
                <c:pt idx="80">
                  <c:v>160</c:v>
                </c:pt>
                <c:pt idx="81">
                  <c:v>115</c:v>
                </c:pt>
                <c:pt idx="82">
                  <c:v>129</c:v>
                </c:pt>
                <c:pt idx="83">
                  <c:v>183</c:v>
                </c:pt>
                <c:pt idx="84">
                  <c:v>83</c:v>
                </c:pt>
                <c:pt idx="85">
                  <c:v>81</c:v>
                </c:pt>
                <c:pt idx="86">
                  <c:v>85</c:v>
                </c:pt>
                <c:pt idx="87">
                  <c:v>133</c:v>
                </c:pt>
                <c:pt idx="88">
                  <c:v>185</c:v>
                </c:pt>
                <c:pt idx="89">
                  <c:v>83</c:v>
                </c:pt>
                <c:pt idx="90">
                  <c:v>133</c:v>
                </c:pt>
                <c:pt idx="91">
                  <c:v>172</c:v>
                </c:pt>
                <c:pt idx="92">
                  <c:v>142</c:v>
                </c:pt>
                <c:pt idx="93">
                  <c:v>97</c:v>
                </c:pt>
                <c:pt idx="94">
                  <c:v>169</c:v>
                </c:pt>
                <c:pt idx="95">
                  <c:v>123</c:v>
                </c:pt>
                <c:pt idx="96">
                  <c:v>113</c:v>
                </c:pt>
                <c:pt idx="97">
                  <c:v>153</c:v>
                </c:pt>
                <c:pt idx="98">
                  <c:v>141</c:v>
                </c:pt>
                <c:pt idx="99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9-DC49-837B-48C7A13F6C26}"/>
            </c:ext>
          </c:extLst>
        </c:ser>
        <c:ser>
          <c:idx val="1"/>
          <c:order val="1"/>
          <c:tx>
            <c:strRef>
              <c:f>Supply_Chain_Forecasting!$E$1</c:f>
              <c:strCache>
                <c:ptCount val="1"/>
                <c:pt idx="0">
                  <c:v>Average_Inventory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Supply_Chain_Forecasting!$E$2:$E$101</c:f>
              <c:numCache>
                <c:formatCode>General</c:formatCode>
                <c:ptCount val="100"/>
                <c:pt idx="0">
                  <c:v>602</c:v>
                </c:pt>
                <c:pt idx="1">
                  <c:v>545</c:v>
                </c:pt>
                <c:pt idx="2">
                  <c:v>710</c:v>
                </c:pt>
                <c:pt idx="3">
                  <c:v>346</c:v>
                </c:pt>
                <c:pt idx="4">
                  <c:v>347</c:v>
                </c:pt>
                <c:pt idx="5">
                  <c:v>688</c:v>
                </c:pt>
                <c:pt idx="6">
                  <c:v>750</c:v>
                </c:pt>
                <c:pt idx="7">
                  <c:v>537</c:v>
                </c:pt>
                <c:pt idx="8">
                  <c:v>672</c:v>
                </c:pt>
                <c:pt idx="9">
                  <c:v>350</c:v>
                </c:pt>
                <c:pt idx="10">
                  <c:v>614</c:v>
                </c:pt>
                <c:pt idx="11">
                  <c:v>497</c:v>
                </c:pt>
                <c:pt idx="12">
                  <c:v>462</c:v>
                </c:pt>
                <c:pt idx="13">
                  <c:v>343</c:v>
                </c:pt>
                <c:pt idx="14">
                  <c:v>545</c:v>
                </c:pt>
                <c:pt idx="15">
                  <c:v>771</c:v>
                </c:pt>
                <c:pt idx="16">
                  <c:v>201</c:v>
                </c:pt>
                <c:pt idx="17">
                  <c:v>503</c:v>
                </c:pt>
                <c:pt idx="18">
                  <c:v>453</c:v>
                </c:pt>
                <c:pt idx="19">
                  <c:v>652</c:v>
                </c:pt>
                <c:pt idx="20">
                  <c:v>236</c:v>
                </c:pt>
                <c:pt idx="21">
                  <c:v>359</c:v>
                </c:pt>
                <c:pt idx="22">
                  <c:v>208</c:v>
                </c:pt>
                <c:pt idx="23">
                  <c:v>432</c:v>
                </c:pt>
                <c:pt idx="24">
                  <c:v>298</c:v>
                </c:pt>
                <c:pt idx="25">
                  <c:v>407</c:v>
                </c:pt>
                <c:pt idx="26">
                  <c:v>330</c:v>
                </c:pt>
                <c:pt idx="27">
                  <c:v>603</c:v>
                </c:pt>
                <c:pt idx="28">
                  <c:v>351</c:v>
                </c:pt>
                <c:pt idx="29">
                  <c:v>253</c:v>
                </c:pt>
                <c:pt idx="30">
                  <c:v>319</c:v>
                </c:pt>
                <c:pt idx="31">
                  <c:v>786</c:v>
                </c:pt>
                <c:pt idx="32">
                  <c:v>619</c:v>
                </c:pt>
                <c:pt idx="33">
                  <c:v>621</c:v>
                </c:pt>
                <c:pt idx="34">
                  <c:v>303</c:v>
                </c:pt>
                <c:pt idx="35">
                  <c:v>453</c:v>
                </c:pt>
                <c:pt idx="36">
                  <c:v>426</c:v>
                </c:pt>
                <c:pt idx="37">
                  <c:v>311</c:v>
                </c:pt>
                <c:pt idx="38">
                  <c:v>709</c:v>
                </c:pt>
                <c:pt idx="39">
                  <c:v>672</c:v>
                </c:pt>
                <c:pt idx="40">
                  <c:v>298</c:v>
                </c:pt>
                <c:pt idx="41">
                  <c:v>352</c:v>
                </c:pt>
                <c:pt idx="42">
                  <c:v>537</c:v>
                </c:pt>
                <c:pt idx="43">
                  <c:v>362</c:v>
                </c:pt>
                <c:pt idx="44">
                  <c:v>360</c:v>
                </c:pt>
                <c:pt idx="45">
                  <c:v>779</c:v>
                </c:pt>
                <c:pt idx="46">
                  <c:v>597</c:v>
                </c:pt>
                <c:pt idx="47">
                  <c:v>476</c:v>
                </c:pt>
                <c:pt idx="48">
                  <c:v>703</c:v>
                </c:pt>
                <c:pt idx="49">
                  <c:v>591</c:v>
                </c:pt>
                <c:pt idx="50">
                  <c:v>334</c:v>
                </c:pt>
                <c:pt idx="51">
                  <c:v>394</c:v>
                </c:pt>
                <c:pt idx="52">
                  <c:v>600</c:v>
                </c:pt>
                <c:pt idx="53">
                  <c:v>232</c:v>
                </c:pt>
                <c:pt idx="54">
                  <c:v>659</c:v>
                </c:pt>
                <c:pt idx="55">
                  <c:v>669</c:v>
                </c:pt>
                <c:pt idx="56">
                  <c:v>574</c:v>
                </c:pt>
                <c:pt idx="57">
                  <c:v>221</c:v>
                </c:pt>
                <c:pt idx="58">
                  <c:v>237</c:v>
                </c:pt>
                <c:pt idx="59">
                  <c:v>429</c:v>
                </c:pt>
                <c:pt idx="60">
                  <c:v>564</c:v>
                </c:pt>
                <c:pt idx="61">
                  <c:v>762</c:v>
                </c:pt>
                <c:pt idx="62">
                  <c:v>637</c:v>
                </c:pt>
                <c:pt idx="63">
                  <c:v>482</c:v>
                </c:pt>
                <c:pt idx="64">
                  <c:v>226</c:v>
                </c:pt>
                <c:pt idx="65">
                  <c:v>425</c:v>
                </c:pt>
                <c:pt idx="66">
                  <c:v>476</c:v>
                </c:pt>
                <c:pt idx="67">
                  <c:v>483</c:v>
                </c:pt>
                <c:pt idx="68">
                  <c:v>680</c:v>
                </c:pt>
                <c:pt idx="69">
                  <c:v>652</c:v>
                </c:pt>
                <c:pt idx="70">
                  <c:v>715</c:v>
                </c:pt>
                <c:pt idx="71">
                  <c:v>746</c:v>
                </c:pt>
                <c:pt idx="72">
                  <c:v>391</c:v>
                </c:pt>
                <c:pt idx="73">
                  <c:v>248</c:v>
                </c:pt>
                <c:pt idx="74">
                  <c:v>711</c:v>
                </c:pt>
                <c:pt idx="75">
                  <c:v>216</c:v>
                </c:pt>
                <c:pt idx="76">
                  <c:v>371</c:v>
                </c:pt>
                <c:pt idx="77">
                  <c:v>419</c:v>
                </c:pt>
                <c:pt idx="78">
                  <c:v>357</c:v>
                </c:pt>
                <c:pt idx="79">
                  <c:v>676</c:v>
                </c:pt>
                <c:pt idx="80">
                  <c:v>245</c:v>
                </c:pt>
                <c:pt idx="81">
                  <c:v>572</c:v>
                </c:pt>
                <c:pt idx="82">
                  <c:v>717</c:v>
                </c:pt>
                <c:pt idx="83">
                  <c:v>298</c:v>
                </c:pt>
                <c:pt idx="84">
                  <c:v>236</c:v>
                </c:pt>
                <c:pt idx="85">
                  <c:v>479</c:v>
                </c:pt>
                <c:pt idx="86">
                  <c:v>548</c:v>
                </c:pt>
                <c:pt idx="87">
                  <c:v>696</c:v>
                </c:pt>
                <c:pt idx="88">
                  <c:v>501</c:v>
                </c:pt>
                <c:pt idx="89">
                  <c:v>380</c:v>
                </c:pt>
                <c:pt idx="90">
                  <c:v>298</c:v>
                </c:pt>
                <c:pt idx="91">
                  <c:v>315</c:v>
                </c:pt>
                <c:pt idx="92">
                  <c:v>390</c:v>
                </c:pt>
                <c:pt idx="93">
                  <c:v>452</c:v>
                </c:pt>
                <c:pt idx="94">
                  <c:v>360</c:v>
                </c:pt>
                <c:pt idx="95">
                  <c:v>455</c:v>
                </c:pt>
                <c:pt idx="96">
                  <c:v>522</c:v>
                </c:pt>
                <c:pt idx="97">
                  <c:v>327</c:v>
                </c:pt>
                <c:pt idx="98">
                  <c:v>217</c:v>
                </c:pt>
                <c:pt idx="99">
                  <c:v>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F9-DC49-837B-48C7A13F6C26}"/>
            </c:ext>
          </c:extLst>
        </c:ser>
        <c:ser>
          <c:idx val="2"/>
          <c:order val="2"/>
          <c:tx>
            <c:strRef>
              <c:f>Supply_Chain_Forecasting!$U$1</c:f>
              <c:strCache>
                <c:ptCount val="1"/>
                <c:pt idx="0">
                  <c:v>Simple Exponential Smoothing (SES)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Supply_Chain_Forecasting!$U$2:$U$101</c:f>
              <c:numCache>
                <c:formatCode>0.00</c:formatCode>
                <c:ptCount val="100"/>
                <c:pt idx="0">
                  <c:v>182</c:v>
                </c:pt>
                <c:pt idx="1">
                  <c:v>166.7</c:v>
                </c:pt>
                <c:pt idx="2">
                  <c:v>168.29</c:v>
                </c:pt>
                <c:pt idx="3">
                  <c:v>146.00299999999999</c:v>
                </c:pt>
                <c:pt idx="4">
                  <c:v>158.00209999999998</c:v>
                </c:pt>
                <c:pt idx="5">
                  <c:v>155.90146999999996</c:v>
                </c:pt>
                <c:pt idx="6">
                  <c:v>151.13102899999996</c:v>
                </c:pt>
                <c:pt idx="7">
                  <c:v>135.79172029999995</c:v>
                </c:pt>
                <c:pt idx="8">
                  <c:v>149.65420420999996</c:v>
                </c:pt>
                <c:pt idx="9">
                  <c:v>153.35794294699997</c:v>
                </c:pt>
                <c:pt idx="10">
                  <c:v>157.15056006289996</c:v>
                </c:pt>
                <c:pt idx="11">
                  <c:v>156.20539204402996</c:v>
                </c:pt>
                <c:pt idx="12">
                  <c:v>155.54377443082097</c:v>
                </c:pt>
                <c:pt idx="13">
                  <c:v>158.98064210157469</c:v>
                </c:pt>
                <c:pt idx="14">
                  <c:v>170.08644947110227</c:v>
                </c:pt>
                <c:pt idx="15">
                  <c:v>172.76051462977156</c:v>
                </c:pt>
                <c:pt idx="16">
                  <c:v>175.83236024084007</c:v>
                </c:pt>
                <c:pt idx="17">
                  <c:v>153.98265216858803</c:v>
                </c:pt>
                <c:pt idx="18">
                  <c:v>132.38785651801163</c:v>
                </c:pt>
                <c:pt idx="19">
                  <c:v>122.97149956260813</c:v>
                </c:pt>
                <c:pt idx="20">
                  <c:v>125.68004969382568</c:v>
                </c:pt>
                <c:pt idx="21">
                  <c:v>112.27603478567796</c:v>
                </c:pt>
                <c:pt idx="22">
                  <c:v>128.69322434997457</c:v>
                </c:pt>
                <c:pt idx="23">
                  <c:v>146.18525704498219</c:v>
                </c:pt>
                <c:pt idx="24">
                  <c:v>135.02967993148752</c:v>
                </c:pt>
                <c:pt idx="25">
                  <c:v>129.62077595204127</c:v>
                </c:pt>
                <c:pt idx="26">
                  <c:v>115.03454316642888</c:v>
                </c:pt>
                <c:pt idx="27">
                  <c:v>123.42418021650022</c:v>
                </c:pt>
                <c:pt idx="28">
                  <c:v>128.09692615155015</c:v>
                </c:pt>
                <c:pt idx="29">
                  <c:v>119.66784830608511</c:v>
                </c:pt>
                <c:pt idx="30">
                  <c:v>117.36749381425957</c:v>
                </c:pt>
                <c:pt idx="31">
                  <c:v>128.65724566998171</c:v>
                </c:pt>
                <c:pt idx="32">
                  <c:v>131.16007196898718</c:v>
                </c:pt>
                <c:pt idx="33">
                  <c:v>122.11205037829102</c:v>
                </c:pt>
                <c:pt idx="34">
                  <c:v>141.57843526480372</c:v>
                </c:pt>
                <c:pt idx="35">
                  <c:v>149.50490468536259</c:v>
                </c:pt>
                <c:pt idx="36">
                  <c:v>143.05343327975382</c:v>
                </c:pt>
                <c:pt idx="37">
                  <c:v>151.13740329582765</c:v>
                </c:pt>
                <c:pt idx="38">
                  <c:v>147.19618230707934</c:v>
                </c:pt>
                <c:pt idx="39">
                  <c:v>139.33732761495554</c:v>
                </c:pt>
                <c:pt idx="40">
                  <c:v>148.83612933046885</c:v>
                </c:pt>
                <c:pt idx="41">
                  <c:v>145.8852905313282</c:v>
                </c:pt>
                <c:pt idx="42">
                  <c:v>149.81970337192973</c:v>
                </c:pt>
                <c:pt idx="43">
                  <c:v>133.07379236035081</c:v>
                </c:pt>
                <c:pt idx="44">
                  <c:v>135.45165465224557</c:v>
                </c:pt>
                <c:pt idx="45">
                  <c:v>137.11615825657191</c:v>
                </c:pt>
                <c:pt idx="46">
                  <c:v>133.78131077960035</c:v>
                </c:pt>
                <c:pt idx="47">
                  <c:v>135.94691754572023</c:v>
                </c:pt>
                <c:pt idx="48">
                  <c:v>134.16284228200414</c:v>
                </c:pt>
                <c:pt idx="49">
                  <c:v>150.01398959740288</c:v>
                </c:pt>
                <c:pt idx="50">
                  <c:v>145.209792718182</c:v>
                </c:pt>
                <c:pt idx="51">
                  <c:v>160.1468549027274</c:v>
                </c:pt>
                <c:pt idx="52">
                  <c:v>155.00279843190916</c:v>
                </c:pt>
                <c:pt idx="53">
                  <c:v>133.10195890233641</c:v>
                </c:pt>
                <c:pt idx="54">
                  <c:v>147.17137123163548</c:v>
                </c:pt>
                <c:pt idx="55">
                  <c:v>142.01995986214484</c:v>
                </c:pt>
                <c:pt idx="56">
                  <c:v>125.21397190350139</c:v>
                </c:pt>
                <c:pt idx="57">
                  <c:v>117.64978033245097</c:v>
                </c:pt>
                <c:pt idx="58">
                  <c:v>127.95484623271568</c:v>
                </c:pt>
                <c:pt idx="59">
                  <c:v>124.96839236290097</c:v>
                </c:pt>
                <c:pt idx="60">
                  <c:v>116.57787465403067</c:v>
                </c:pt>
                <c:pt idx="61">
                  <c:v>106.50451225782146</c:v>
                </c:pt>
                <c:pt idx="62">
                  <c:v>124.95315858047502</c:v>
                </c:pt>
                <c:pt idx="63">
                  <c:v>129.16721100633251</c:v>
                </c:pt>
                <c:pt idx="64">
                  <c:v>118.31704770443275</c:v>
                </c:pt>
                <c:pt idx="65">
                  <c:v>140.72193339310292</c:v>
                </c:pt>
                <c:pt idx="66">
                  <c:v>124.90535337517204</c:v>
                </c:pt>
                <c:pt idx="67">
                  <c:v>138.13374736262043</c:v>
                </c:pt>
                <c:pt idx="68">
                  <c:v>136.29362315383429</c:v>
                </c:pt>
                <c:pt idx="69">
                  <c:v>119.70553620768399</c:v>
                </c:pt>
                <c:pt idx="70">
                  <c:v>132.69387534537879</c:v>
                </c:pt>
                <c:pt idx="71">
                  <c:v>144.18571274176514</c:v>
                </c:pt>
                <c:pt idx="72">
                  <c:v>157.9299989192356</c:v>
                </c:pt>
                <c:pt idx="73">
                  <c:v>152.25099924346492</c:v>
                </c:pt>
                <c:pt idx="74">
                  <c:v>151.57569947042543</c:v>
                </c:pt>
                <c:pt idx="75">
                  <c:v>143.00298962929779</c:v>
                </c:pt>
                <c:pt idx="76">
                  <c:v>126.20209274050843</c:v>
                </c:pt>
                <c:pt idx="77">
                  <c:v>126.14146491835589</c:v>
                </c:pt>
                <c:pt idx="78">
                  <c:v>122.4990254428491</c:v>
                </c:pt>
                <c:pt idx="79">
                  <c:v>132.84931780999437</c:v>
                </c:pt>
                <c:pt idx="80">
                  <c:v>140.99452246699605</c:v>
                </c:pt>
                <c:pt idx="81">
                  <c:v>133.19616572689722</c:v>
                </c:pt>
                <c:pt idx="82">
                  <c:v>131.93731600882805</c:v>
                </c:pt>
                <c:pt idx="83">
                  <c:v>147.25612120617961</c:v>
                </c:pt>
                <c:pt idx="84">
                  <c:v>127.97928484432572</c:v>
                </c:pt>
                <c:pt idx="85">
                  <c:v>113.88549939102799</c:v>
                </c:pt>
                <c:pt idx="86">
                  <c:v>105.21984957371959</c:v>
                </c:pt>
                <c:pt idx="87">
                  <c:v>113.5538947016037</c:v>
                </c:pt>
                <c:pt idx="88">
                  <c:v>134.98772629112258</c:v>
                </c:pt>
                <c:pt idx="89">
                  <c:v>119.39140840378579</c:v>
                </c:pt>
                <c:pt idx="90">
                  <c:v>123.47398588265006</c:v>
                </c:pt>
                <c:pt idx="91">
                  <c:v>138.03179011785502</c:v>
                </c:pt>
                <c:pt idx="92">
                  <c:v>139.22225308249853</c:v>
                </c:pt>
                <c:pt idx="93">
                  <c:v>126.55557715774896</c:v>
                </c:pt>
                <c:pt idx="94">
                  <c:v>139.28890401042426</c:v>
                </c:pt>
                <c:pt idx="95">
                  <c:v>134.40223280729697</c:v>
                </c:pt>
                <c:pt idx="96">
                  <c:v>127.98156296510788</c:v>
                </c:pt>
                <c:pt idx="97">
                  <c:v>135.4870940755755</c:v>
                </c:pt>
                <c:pt idx="98">
                  <c:v>137.14096585290284</c:v>
                </c:pt>
                <c:pt idx="99">
                  <c:v>149.69867609703198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F9-DC49-837B-48C7A13F6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864336"/>
        <c:axId val="1875866048"/>
      </c:lineChart>
      <c:catAx>
        <c:axId val="1875864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866048"/>
        <c:crosses val="autoZero"/>
        <c:auto val="1"/>
        <c:lblAlgn val="ctr"/>
        <c:lblOffset val="100"/>
        <c:noMultiLvlLbl val="0"/>
      </c:catAx>
      <c:valAx>
        <c:axId val="18758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86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Comparison of Actual VS Forecasted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Supply_Chain_Forecasting!$B$1</c:f>
              <c:strCache>
                <c:ptCount val="1"/>
                <c:pt idx="0">
                  <c:v>Actual_Demand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Supply_Chain_Forecasting!$B$2:$B$101</c:f>
              <c:numCache>
                <c:formatCode>General</c:formatCode>
                <c:ptCount val="100"/>
                <c:pt idx="0">
                  <c:v>182</c:v>
                </c:pt>
                <c:pt idx="1">
                  <c:v>131</c:v>
                </c:pt>
                <c:pt idx="2">
                  <c:v>172</c:v>
                </c:pt>
                <c:pt idx="3">
                  <c:v>94</c:v>
                </c:pt>
                <c:pt idx="4">
                  <c:v>186</c:v>
                </c:pt>
                <c:pt idx="5">
                  <c:v>151</c:v>
                </c:pt>
                <c:pt idx="6">
                  <c:v>140</c:v>
                </c:pt>
                <c:pt idx="7">
                  <c:v>100</c:v>
                </c:pt>
                <c:pt idx="8">
                  <c:v>182</c:v>
                </c:pt>
                <c:pt idx="9">
                  <c:v>162</c:v>
                </c:pt>
                <c:pt idx="10">
                  <c:v>166</c:v>
                </c:pt>
                <c:pt idx="11">
                  <c:v>154</c:v>
                </c:pt>
                <c:pt idx="12">
                  <c:v>154</c:v>
                </c:pt>
                <c:pt idx="13">
                  <c:v>167</c:v>
                </c:pt>
                <c:pt idx="14">
                  <c:v>196</c:v>
                </c:pt>
                <c:pt idx="15">
                  <c:v>179</c:v>
                </c:pt>
                <c:pt idx="16">
                  <c:v>183</c:v>
                </c:pt>
                <c:pt idx="17">
                  <c:v>103</c:v>
                </c:pt>
                <c:pt idx="18">
                  <c:v>82</c:v>
                </c:pt>
                <c:pt idx="19">
                  <c:v>101</c:v>
                </c:pt>
                <c:pt idx="20">
                  <c:v>132</c:v>
                </c:pt>
                <c:pt idx="21">
                  <c:v>81</c:v>
                </c:pt>
                <c:pt idx="22">
                  <c:v>167</c:v>
                </c:pt>
                <c:pt idx="23">
                  <c:v>187</c:v>
                </c:pt>
                <c:pt idx="24">
                  <c:v>109</c:v>
                </c:pt>
                <c:pt idx="25">
                  <c:v>117</c:v>
                </c:pt>
                <c:pt idx="26">
                  <c:v>81</c:v>
                </c:pt>
                <c:pt idx="27">
                  <c:v>143</c:v>
                </c:pt>
                <c:pt idx="28">
                  <c:v>139</c:v>
                </c:pt>
                <c:pt idx="29">
                  <c:v>100</c:v>
                </c:pt>
                <c:pt idx="30">
                  <c:v>112</c:v>
                </c:pt>
                <c:pt idx="31">
                  <c:v>155</c:v>
                </c:pt>
                <c:pt idx="32">
                  <c:v>137</c:v>
                </c:pt>
                <c:pt idx="33">
                  <c:v>101</c:v>
                </c:pt>
                <c:pt idx="34">
                  <c:v>187</c:v>
                </c:pt>
                <c:pt idx="35">
                  <c:v>168</c:v>
                </c:pt>
                <c:pt idx="36">
                  <c:v>128</c:v>
                </c:pt>
                <c:pt idx="37">
                  <c:v>170</c:v>
                </c:pt>
                <c:pt idx="38">
                  <c:v>138</c:v>
                </c:pt>
                <c:pt idx="39">
                  <c:v>121</c:v>
                </c:pt>
                <c:pt idx="40">
                  <c:v>171</c:v>
                </c:pt>
                <c:pt idx="41">
                  <c:v>139</c:v>
                </c:pt>
                <c:pt idx="42">
                  <c:v>159</c:v>
                </c:pt>
                <c:pt idx="43">
                  <c:v>94</c:v>
                </c:pt>
                <c:pt idx="44">
                  <c:v>141</c:v>
                </c:pt>
                <c:pt idx="45">
                  <c:v>141</c:v>
                </c:pt>
                <c:pt idx="46">
                  <c:v>126</c:v>
                </c:pt>
                <c:pt idx="47">
                  <c:v>141</c:v>
                </c:pt>
                <c:pt idx="48">
                  <c:v>130</c:v>
                </c:pt>
                <c:pt idx="49">
                  <c:v>187</c:v>
                </c:pt>
                <c:pt idx="50">
                  <c:v>134</c:v>
                </c:pt>
                <c:pt idx="51">
                  <c:v>195</c:v>
                </c:pt>
                <c:pt idx="52">
                  <c:v>143</c:v>
                </c:pt>
                <c:pt idx="53">
                  <c:v>82</c:v>
                </c:pt>
                <c:pt idx="54">
                  <c:v>180</c:v>
                </c:pt>
                <c:pt idx="55">
                  <c:v>130</c:v>
                </c:pt>
                <c:pt idx="56">
                  <c:v>86</c:v>
                </c:pt>
                <c:pt idx="57">
                  <c:v>100</c:v>
                </c:pt>
                <c:pt idx="58">
                  <c:v>152</c:v>
                </c:pt>
                <c:pt idx="59">
                  <c:v>118</c:v>
                </c:pt>
                <c:pt idx="60">
                  <c:v>97</c:v>
                </c:pt>
                <c:pt idx="61">
                  <c:v>83</c:v>
                </c:pt>
                <c:pt idx="62">
                  <c:v>168</c:v>
                </c:pt>
                <c:pt idx="63">
                  <c:v>139</c:v>
                </c:pt>
                <c:pt idx="64">
                  <c:v>93</c:v>
                </c:pt>
                <c:pt idx="65">
                  <c:v>193</c:v>
                </c:pt>
                <c:pt idx="66">
                  <c:v>88</c:v>
                </c:pt>
                <c:pt idx="67">
                  <c:v>169</c:v>
                </c:pt>
                <c:pt idx="68">
                  <c:v>132</c:v>
                </c:pt>
                <c:pt idx="69">
                  <c:v>81</c:v>
                </c:pt>
                <c:pt idx="70">
                  <c:v>163</c:v>
                </c:pt>
                <c:pt idx="71">
                  <c:v>171</c:v>
                </c:pt>
                <c:pt idx="72">
                  <c:v>190</c:v>
                </c:pt>
                <c:pt idx="73">
                  <c:v>139</c:v>
                </c:pt>
                <c:pt idx="74">
                  <c:v>150</c:v>
                </c:pt>
                <c:pt idx="75">
                  <c:v>123</c:v>
                </c:pt>
                <c:pt idx="76">
                  <c:v>87</c:v>
                </c:pt>
                <c:pt idx="77">
                  <c:v>126</c:v>
                </c:pt>
                <c:pt idx="78">
                  <c:v>114</c:v>
                </c:pt>
                <c:pt idx="79">
                  <c:v>157</c:v>
                </c:pt>
                <c:pt idx="80">
                  <c:v>160</c:v>
                </c:pt>
                <c:pt idx="81">
                  <c:v>115</c:v>
                </c:pt>
                <c:pt idx="82">
                  <c:v>129</c:v>
                </c:pt>
                <c:pt idx="83">
                  <c:v>183</c:v>
                </c:pt>
                <c:pt idx="84">
                  <c:v>83</c:v>
                </c:pt>
                <c:pt idx="85">
                  <c:v>81</c:v>
                </c:pt>
                <c:pt idx="86">
                  <c:v>85</c:v>
                </c:pt>
                <c:pt idx="87">
                  <c:v>133</c:v>
                </c:pt>
                <c:pt idx="88">
                  <c:v>185</c:v>
                </c:pt>
                <c:pt idx="89">
                  <c:v>83</c:v>
                </c:pt>
                <c:pt idx="90">
                  <c:v>133</c:v>
                </c:pt>
                <c:pt idx="91">
                  <c:v>172</c:v>
                </c:pt>
                <c:pt idx="92">
                  <c:v>142</c:v>
                </c:pt>
                <c:pt idx="93">
                  <c:v>97</c:v>
                </c:pt>
                <c:pt idx="94">
                  <c:v>169</c:v>
                </c:pt>
                <c:pt idx="95">
                  <c:v>123</c:v>
                </c:pt>
                <c:pt idx="96">
                  <c:v>113</c:v>
                </c:pt>
                <c:pt idx="97">
                  <c:v>153</c:v>
                </c:pt>
                <c:pt idx="98">
                  <c:v>141</c:v>
                </c:pt>
                <c:pt idx="99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FD-1443-BC23-FF4B925BBEB2}"/>
            </c:ext>
          </c:extLst>
        </c:ser>
        <c:ser>
          <c:idx val="1"/>
          <c:order val="1"/>
          <c:tx>
            <c:strRef>
              <c:f>Supply_Chain_Forecasting!$S$1</c:f>
              <c:strCache>
                <c:ptCount val="1"/>
                <c:pt idx="0">
                  <c:v>3‑Period Moving Average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Supply_Chain_Forecasting!$S$2:$S$101</c:f>
              <c:numCache>
                <c:formatCode>0.00</c:formatCode>
                <c:ptCount val="100"/>
                <c:pt idx="0">
                  <c:v>161.66666666666666</c:v>
                </c:pt>
                <c:pt idx="1">
                  <c:v>132.33333333333334</c:v>
                </c:pt>
                <c:pt idx="2">
                  <c:v>150.66666666666666</c:v>
                </c:pt>
                <c:pt idx="3">
                  <c:v>143.66666666666666</c:v>
                </c:pt>
                <c:pt idx="4">
                  <c:v>159</c:v>
                </c:pt>
                <c:pt idx="5">
                  <c:v>130.33333333333334</c:v>
                </c:pt>
                <c:pt idx="6">
                  <c:v>140.66666666666666</c:v>
                </c:pt>
                <c:pt idx="7">
                  <c:v>148</c:v>
                </c:pt>
                <c:pt idx="8">
                  <c:v>170</c:v>
                </c:pt>
                <c:pt idx="9">
                  <c:v>160.66666666666666</c:v>
                </c:pt>
                <c:pt idx="10">
                  <c:v>158</c:v>
                </c:pt>
                <c:pt idx="11">
                  <c:v>158.33333333333334</c:v>
                </c:pt>
                <c:pt idx="12">
                  <c:v>172.33333333333334</c:v>
                </c:pt>
                <c:pt idx="13">
                  <c:v>180.66666666666666</c:v>
                </c:pt>
                <c:pt idx="14">
                  <c:v>186</c:v>
                </c:pt>
                <c:pt idx="15">
                  <c:v>155</c:v>
                </c:pt>
                <c:pt idx="16">
                  <c:v>122.66666666666667</c:v>
                </c:pt>
                <c:pt idx="17">
                  <c:v>95.333333333333329</c:v>
                </c:pt>
                <c:pt idx="18">
                  <c:v>105</c:v>
                </c:pt>
                <c:pt idx="19">
                  <c:v>104.66666666666667</c:v>
                </c:pt>
                <c:pt idx="20">
                  <c:v>126.66666666666667</c:v>
                </c:pt>
                <c:pt idx="21">
                  <c:v>145</c:v>
                </c:pt>
                <c:pt idx="22">
                  <c:v>154.33333333333334</c:v>
                </c:pt>
                <c:pt idx="23">
                  <c:v>137.66666666666666</c:v>
                </c:pt>
                <c:pt idx="24">
                  <c:v>102.33333333333333</c:v>
                </c:pt>
                <c:pt idx="25">
                  <c:v>113.66666666666667</c:v>
                </c:pt>
                <c:pt idx="26">
                  <c:v>121</c:v>
                </c:pt>
                <c:pt idx="27">
                  <c:v>127.33333333333333</c:v>
                </c:pt>
                <c:pt idx="28">
                  <c:v>117</c:v>
                </c:pt>
                <c:pt idx="29">
                  <c:v>122.33333333333333</c:v>
                </c:pt>
                <c:pt idx="30">
                  <c:v>134.66666666666666</c:v>
                </c:pt>
                <c:pt idx="31">
                  <c:v>131</c:v>
                </c:pt>
                <c:pt idx="32">
                  <c:v>141.66666666666666</c:v>
                </c:pt>
                <c:pt idx="33">
                  <c:v>152</c:v>
                </c:pt>
                <c:pt idx="34">
                  <c:v>161</c:v>
                </c:pt>
                <c:pt idx="35">
                  <c:v>155.33333333333334</c:v>
                </c:pt>
                <c:pt idx="36">
                  <c:v>145.33333333333334</c:v>
                </c:pt>
                <c:pt idx="37">
                  <c:v>143</c:v>
                </c:pt>
                <c:pt idx="38">
                  <c:v>143.33333333333334</c:v>
                </c:pt>
                <c:pt idx="39">
                  <c:v>143.66666666666666</c:v>
                </c:pt>
                <c:pt idx="40">
                  <c:v>156.33333333333334</c:v>
                </c:pt>
                <c:pt idx="41">
                  <c:v>130.66666666666666</c:v>
                </c:pt>
                <c:pt idx="42">
                  <c:v>131.33333333333334</c:v>
                </c:pt>
                <c:pt idx="43">
                  <c:v>125.33333333333333</c:v>
                </c:pt>
                <c:pt idx="44">
                  <c:v>136</c:v>
                </c:pt>
                <c:pt idx="45">
                  <c:v>136</c:v>
                </c:pt>
                <c:pt idx="46">
                  <c:v>132.33333333333334</c:v>
                </c:pt>
                <c:pt idx="47">
                  <c:v>152.66666666666666</c:v>
                </c:pt>
                <c:pt idx="48">
                  <c:v>150.33333333333334</c:v>
                </c:pt>
                <c:pt idx="49">
                  <c:v>172</c:v>
                </c:pt>
                <c:pt idx="50">
                  <c:v>157.33333333333334</c:v>
                </c:pt>
                <c:pt idx="51">
                  <c:v>140</c:v>
                </c:pt>
                <c:pt idx="52">
                  <c:v>135</c:v>
                </c:pt>
                <c:pt idx="53">
                  <c:v>130.66666666666666</c:v>
                </c:pt>
                <c:pt idx="54">
                  <c:v>132</c:v>
                </c:pt>
                <c:pt idx="55">
                  <c:v>105.33333333333333</c:v>
                </c:pt>
                <c:pt idx="56">
                  <c:v>112.66666666666667</c:v>
                </c:pt>
                <c:pt idx="57">
                  <c:v>123.33333333333333</c:v>
                </c:pt>
                <c:pt idx="58">
                  <c:v>122.33333333333333</c:v>
                </c:pt>
                <c:pt idx="59">
                  <c:v>99.333333333333329</c:v>
                </c:pt>
                <c:pt idx="60">
                  <c:v>116</c:v>
                </c:pt>
                <c:pt idx="61">
                  <c:v>130</c:v>
                </c:pt>
                <c:pt idx="62">
                  <c:v>133.33333333333334</c:v>
                </c:pt>
                <c:pt idx="63">
                  <c:v>141.66666666666666</c:v>
                </c:pt>
                <c:pt idx="64">
                  <c:v>124.66666666666667</c:v>
                </c:pt>
                <c:pt idx="65">
                  <c:v>150</c:v>
                </c:pt>
                <c:pt idx="66">
                  <c:v>129.66666666666666</c:v>
                </c:pt>
                <c:pt idx="67">
                  <c:v>127.33333333333333</c:v>
                </c:pt>
                <c:pt idx="68">
                  <c:v>125.33333333333333</c:v>
                </c:pt>
                <c:pt idx="69">
                  <c:v>138.33333333333334</c:v>
                </c:pt>
                <c:pt idx="70">
                  <c:v>174.66666666666666</c:v>
                </c:pt>
                <c:pt idx="71">
                  <c:v>166.66666666666666</c:v>
                </c:pt>
                <c:pt idx="72">
                  <c:v>159.66666666666666</c:v>
                </c:pt>
                <c:pt idx="73">
                  <c:v>137.33333333333334</c:v>
                </c:pt>
                <c:pt idx="74">
                  <c:v>120</c:v>
                </c:pt>
                <c:pt idx="75">
                  <c:v>112</c:v>
                </c:pt>
                <c:pt idx="76">
                  <c:v>109</c:v>
                </c:pt>
                <c:pt idx="77">
                  <c:v>132.33333333333334</c:v>
                </c:pt>
                <c:pt idx="78">
                  <c:v>143.66666666666666</c:v>
                </c:pt>
                <c:pt idx="79">
                  <c:v>144</c:v>
                </c:pt>
                <c:pt idx="80">
                  <c:v>134.66666666666666</c:v>
                </c:pt>
                <c:pt idx="81">
                  <c:v>142.33333333333334</c:v>
                </c:pt>
                <c:pt idx="82">
                  <c:v>131.66666666666666</c:v>
                </c:pt>
                <c:pt idx="83">
                  <c:v>115.66666666666667</c:v>
                </c:pt>
                <c:pt idx="84">
                  <c:v>83</c:v>
                </c:pt>
                <c:pt idx="85">
                  <c:v>99.666666666666671</c:v>
                </c:pt>
                <c:pt idx="86">
                  <c:v>134.33333333333334</c:v>
                </c:pt>
                <c:pt idx="87">
                  <c:v>133.66666666666666</c:v>
                </c:pt>
                <c:pt idx="88">
                  <c:v>133.66666666666666</c:v>
                </c:pt>
                <c:pt idx="89">
                  <c:v>129.33333333333334</c:v>
                </c:pt>
                <c:pt idx="90">
                  <c:v>149</c:v>
                </c:pt>
                <c:pt idx="91">
                  <c:v>137</c:v>
                </c:pt>
                <c:pt idx="92">
                  <c:v>136</c:v>
                </c:pt>
                <c:pt idx="93">
                  <c:v>129.66666666666666</c:v>
                </c:pt>
                <c:pt idx="94">
                  <c:v>135</c:v>
                </c:pt>
                <c:pt idx="95">
                  <c:v>129.66666666666666</c:v>
                </c:pt>
                <c:pt idx="96">
                  <c:v>135.66666666666666</c:v>
                </c:pt>
                <c:pt idx="97">
                  <c:v>157.66666666666666</c:v>
                </c:pt>
                <c:pt idx="98">
                  <c:v>160</c:v>
                </c:pt>
                <c:pt idx="99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FD-1443-BC23-FF4B925BBEB2}"/>
            </c:ext>
          </c:extLst>
        </c:ser>
        <c:ser>
          <c:idx val="2"/>
          <c:order val="2"/>
          <c:tx>
            <c:strRef>
              <c:f>Supply_Chain_Forecasting!$T$1</c:f>
              <c:strCache>
                <c:ptCount val="1"/>
                <c:pt idx="0">
                  <c:v>4‑Period Moving Average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Supply_Chain_Forecasting!$T$2:$T$101</c:f>
              <c:numCache>
                <c:formatCode>0.00</c:formatCode>
                <c:ptCount val="100"/>
                <c:pt idx="0">
                  <c:v>132</c:v>
                </c:pt>
                <c:pt idx="1">
                  <c:v>146.5</c:v>
                </c:pt>
                <c:pt idx="2">
                  <c:v>142.25</c:v>
                </c:pt>
                <c:pt idx="3">
                  <c:v>152</c:v>
                </c:pt>
                <c:pt idx="4">
                  <c:v>163.75</c:v>
                </c:pt>
                <c:pt idx="5">
                  <c:v>155.75</c:v>
                </c:pt>
                <c:pt idx="6">
                  <c:v>157.5</c:v>
                </c:pt>
                <c:pt idx="7">
                  <c:v>155.75</c:v>
                </c:pt>
                <c:pt idx="8">
                  <c:v>160.75</c:v>
                </c:pt>
                <c:pt idx="9">
                  <c:v>164</c:v>
                </c:pt>
                <c:pt idx="10">
                  <c:v>148.75</c:v>
                </c:pt>
                <c:pt idx="11">
                  <c:v>135.25</c:v>
                </c:pt>
                <c:pt idx="12">
                  <c:v>137</c:v>
                </c:pt>
                <c:pt idx="13">
                  <c:v>138.75</c:v>
                </c:pt>
                <c:pt idx="14">
                  <c:v>143</c:v>
                </c:pt>
                <c:pt idx="15">
                  <c:v>143.75</c:v>
                </c:pt>
                <c:pt idx="16">
                  <c:v>125.25</c:v>
                </c:pt>
                <c:pt idx="17">
                  <c:v>121.5</c:v>
                </c:pt>
                <c:pt idx="18">
                  <c:v>127.5</c:v>
                </c:pt>
                <c:pt idx="19">
                  <c:v>142.5</c:v>
                </c:pt>
                <c:pt idx="20">
                  <c:v>156.5</c:v>
                </c:pt>
                <c:pt idx="21">
                  <c:v>147.5</c:v>
                </c:pt>
                <c:pt idx="22">
                  <c:v>153.25</c:v>
                </c:pt>
                <c:pt idx="23">
                  <c:v>131.25</c:v>
                </c:pt>
                <c:pt idx="24">
                  <c:v>115.5</c:v>
                </c:pt>
                <c:pt idx="25">
                  <c:v>135.25</c:v>
                </c:pt>
                <c:pt idx="26">
                  <c:v>129</c:v>
                </c:pt>
                <c:pt idx="27">
                  <c:v>131.5</c:v>
                </c:pt>
                <c:pt idx="28">
                  <c:v>149.75</c:v>
                </c:pt>
                <c:pt idx="29">
                  <c:v>129.75</c:v>
                </c:pt>
                <c:pt idx="30">
                  <c:v>122.75</c:v>
                </c:pt>
                <c:pt idx="31">
                  <c:v>128.75</c:v>
                </c:pt>
                <c:pt idx="32">
                  <c:v>116.75</c:v>
                </c:pt>
                <c:pt idx="33">
                  <c:v>116</c:v>
                </c:pt>
                <c:pt idx="34">
                  <c:v>117.5</c:v>
                </c:pt>
                <c:pt idx="35">
                  <c:v>115.75</c:v>
                </c:pt>
                <c:pt idx="36">
                  <c:v>109.25</c:v>
                </c:pt>
                <c:pt idx="37">
                  <c:v>126.25</c:v>
                </c:pt>
                <c:pt idx="38">
                  <c:v>134</c:v>
                </c:pt>
                <c:pt idx="39">
                  <c:v>130</c:v>
                </c:pt>
                <c:pt idx="40">
                  <c:v>136.75</c:v>
                </c:pt>
                <c:pt idx="41">
                  <c:v>126.75</c:v>
                </c:pt>
                <c:pt idx="42">
                  <c:v>120.75</c:v>
                </c:pt>
                <c:pt idx="43">
                  <c:v>123.5</c:v>
                </c:pt>
                <c:pt idx="44">
                  <c:v>130.5</c:v>
                </c:pt>
                <c:pt idx="45">
                  <c:v>144.25</c:v>
                </c:pt>
                <c:pt idx="46">
                  <c:v>141.5</c:v>
                </c:pt>
                <c:pt idx="47">
                  <c:v>160.5</c:v>
                </c:pt>
                <c:pt idx="48">
                  <c:v>156</c:v>
                </c:pt>
                <c:pt idx="49">
                  <c:v>155.5</c:v>
                </c:pt>
                <c:pt idx="50">
                  <c:v>169</c:v>
                </c:pt>
                <c:pt idx="51">
                  <c:v>153</c:v>
                </c:pt>
                <c:pt idx="52">
                  <c:v>158.25</c:v>
                </c:pt>
                <c:pt idx="53">
                  <c:v>161.5</c:v>
                </c:pt>
                <c:pt idx="54">
                  <c:v>150.5</c:v>
                </c:pt>
                <c:pt idx="55">
                  <c:v>161.25</c:v>
                </c:pt>
                <c:pt idx="56">
                  <c:v>145.75</c:v>
                </c:pt>
                <c:pt idx="57">
                  <c:v>121.25</c:v>
                </c:pt>
                <c:pt idx="58">
                  <c:v>110.75</c:v>
                </c:pt>
                <c:pt idx="59">
                  <c:v>113.75</c:v>
                </c:pt>
                <c:pt idx="60">
                  <c:v>116.5</c:v>
                </c:pt>
                <c:pt idx="61">
                  <c:v>123</c:v>
                </c:pt>
                <c:pt idx="62">
                  <c:v>124</c:v>
                </c:pt>
                <c:pt idx="63">
                  <c:v>121.25</c:v>
                </c:pt>
                <c:pt idx="64">
                  <c:v>121.5</c:v>
                </c:pt>
                <c:pt idx="65">
                  <c:v>137.25</c:v>
                </c:pt>
                <c:pt idx="66">
                  <c:v>145.5</c:v>
                </c:pt>
                <c:pt idx="67">
                  <c:v>145</c:v>
                </c:pt>
                <c:pt idx="68">
                  <c:v>154</c:v>
                </c:pt>
                <c:pt idx="69">
                  <c:v>147.25</c:v>
                </c:pt>
                <c:pt idx="70">
                  <c:v>160.75</c:v>
                </c:pt>
                <c:pt idx="71">
                  <c:v>154.5</c:v>
                </c:pt>
                <c:pt idx="72">
                  <c:v>165.75</c:v>
                </c:pt>
                <c:pt idx="73">
                  <c:v>151</c:v>
                </c:pt>
                <c:pt idx="74">
                  <c:v>150.5</c:v>
                </c:pt>
                <c:pt idx="75">
                  <c:v>143.25</c:v>
                </c:pt>
                <c:pt idx="76">
                  <c:v>123</c:v>
                </c:pt>
                <c:pt idx="77">
                  <c:v>132.75</c:v>
                </c:pt>
                <c:pt idx="78">
                  <c:v>116.5</c:v>
                </c:pt>
                <c:pt idx="79">
                  <c:v>119.75</c:v>
                </c:pt>
                <c:pt idx="80">
                  <c:v>119.25</c:v>
                </c:pt>
                <c:pt idx="81">
                  <c:v>116.5</c:v>
                </c:pt>
                <c:pt idx="82">
                  <c:v>127</c:v>
                </c:pt>
                <c:pt idx="83">
                  <c:v>132.75</c:v>
                </c:pt>
                <c:pt idx="84">
                  <c:v>151</c:v>
                </c:pt>
                <c:pt idx="85">
                  <c:v>150</c:v>
                </c:pt>
                <c:pt idx="86">
                  <c:v>148.75</c:v>
                </c:pt>
                <c:pt idx="87">
                  <c:v>144.5</c:v>
                </c:pt>
                <c:pt idx="88">
                  <c:v>134.25</c:v>
                </c:pt>
                <c:pt idx="89">
                  <c:v>142.75</c:v>
                </c:pt>
                <c:pt idx="90">
                  <c:v>140.5</c:v>
                </c:pt>
                <c:pt idx="91">
                  <c:v>131.5</c:v>
                </c:pt>
                <c:pt idx="92">
                  <c:v>127.25</c:v>
                </c:pt>
                <c:pt idx="93">
                  <c:v>118.75</c:v>
                </c:pt>
                <c:pt idx="94">
                  <c:v>115.5</c:v>
                </c:pt>
                <c:pt idx="95">
                  <c:v>135</c:v>
                </c:pt>
                <c:pt idx="96">
                  <c:v>135.5</c:v>
                </c:pt>
                <c:pt idx="97">
                  <c:v>141.66666666666666</c:v>
                </c:pt>
                <c:pt idx="98">
                  <c:v>146</c:v>
                </c:pt>
                <c:pt idx="99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FD-1443-BC23-FF4B925BBEB2}"/>
            </c:ext>
          </c:extLst>
        </c:ser>
        <c:ser>
          <c:idx val="3"/>
          <c:order val="3"/>
          <c:tx>
            <c:strRef>
              <c:f>Supply_Chain_Forecasting!$U$1</c:f>
              <c:strCache>
                <c:ptCount val="1"/>
                <c:pt idx="0">
                  <c:v>Simple Exponential Smoothing (SES)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Supply_Chain_Forecasting!$U$2:$U$101</c:f>
              <c:numCache>
                <c:formatCode>0.00</c:formatCode>
                <c:ptCount val="100"/>
                <c:pt idx="0">
                  <c:v>182</c:v>
                </c:pt>
                <c:pt idx="1">
                  <c:v>166.7</c:v>
                </c:pt>
                <c:pt idx="2">
                  <c:v>168.29</c:v>
                </c:pt>
                <c:pt idx="3">
                  <c:v>146.00299999999999</c:v>
                </c:pt>
                <c:pt idx="4">
                  <c:v>158.00209999999998</c:v>
                </c:pt>
                <c:pt idx="5">
                  <c:v>155.90146999999996</c:v>
                </c:pt>
                <c:pt idx="6">
                  <c:v>151.13102899999996</c:v>
                </c:pt>
                <c:pt idx="7">
                  <c:v>135.79172029999995</c:v>
                </c:pt>
                <c:pt idx="8">
                  <c:v>149.65420420999996</c:v>
                </c:pt>
                <c:pt idx="9">
                  <c:v>153.35794294699997</c:v>
                </c:pt>
                <c:pt idx="10">
                  <c:v>157.15056006289996</c:v>
                </c:pt>
                <c:pt idx="11">
                  <c:v>156.20539204402996</c:v>
                </c:pt>
                <c:pt idx="12">
                  <c:v>155.54377443082097</c:v>
                </c:pt>
                <c:pt idx="13">
                  <c:v>158.98064210157469</c:v>
                </c:pt>
                <c:pt idx="14">
                  <c:v>170.08644947110227</c:v>
                </c:pt>
                <c:pt idx="15">
                  <c:v>172.76051462977156</c:v>
                </c:pt>
                <c:pt idx="16">
                  <c:v>175.83236024084007</c:v>
                </c:pt>
                <c:pt idx="17">
                  <c:v>153.98265216858803</c:v>
                </c:pt>
                <c:pt idx="18">
                  <c:v>132.38785651801163</c:v>
                </c:pt>
                <c:pt idx="19">
                  <c:v>122.97149956260813</c:v>
                </c:pt>
                <c:pt idx="20">
                  <c:v>125.68004969382568</c:v>
                </c:pt>
                <c:pt idx="21">
                  <c:v>112.27603478567796</c:v>
                </c:pt>
                <c:pt idx="22">
                  <c:v>128.69322434997457</c:v>
                </c:pt>
                <c:pt idx="23">
                  <c:v>146.18525704498219</c:v>
                </c:pt>
                <c:pt idx="24">
                  <c:v>135.02967993148752</c:v>
                </c:pt>
                <c:pt idx="25">
                  <c:v>129.62077595204127</c:v>
                </c:pt>
                <c:pt idx="26">
                  <c:v>115.03454316642888</c:v>
                </c:pt>
                <c:pt idx="27">
                  <c:v>123.42418021650022</c:v>
                </c:pt>
                <c:pt idx="28">
                  <c:v>128.09692615155015</c:v>
                </c:pt>
                <c:pt idx="29">
                  <c:v>119.66784830608511</c:v>
                </c:pt>
                <c:pt idx="30">
                  <c:v>117.36749381425957</c:v>
                </c:pt>
                <c:pt idx="31">
                  <c:v>128.65724566998171</c:v>
                </c:pt>
                <c:pt idx="32">
                  <c:v>131.16007196898718</c:v>
                </c:pt>
                <c:pt idx="33">
                  <c:v>122.11205037829102</c:v>
                </c:pt>
                <c:pt idx="34">
                  <c:v>141.57843526480372</c:v>
                </c:pt>
                <c:pt idx="35">
                  <c:v>149.50490468536259</c:v>
                </c:pt>
                <c:pt idx="36">
                  <c:v>143.05343327975382</c:v>
                </c:pt>
                <c:pt idx="37">
                  <c:v>151.13740329582765</c:v>
                </c:pt>
                <c:pt idx="38">
                  <c:v>147.19618230707934</c:v>
                </c:pt>
                <c:pt idx="39">
                  <c:v>139.33732761495554</c:v>
                </c:pt>
                <c:pt idx="40">
                  <c:v>148.83612933046885</c:v>
                </c:pt>
                <c:pt idx="41">
                  <c:v>145.8852905313282</c:v>
                </c:pt>
                <c:pt idx="42">
                  <c:v>149.81970337192973</c:v>
                </c:pt>
                <c:pt idx="43">
                  <c:v>133.07379236035081</c:v>
                </c:pt>
                <c:pt idx="44">
                  <c:v>135.45165465224557</c:v>
                </c:pt>
                <c:pt idx="45">
                  <c:v>137.11615825657191</c:v>
                </c:pt>
                <c:pt idx="46">
                  <c:v>133.78131077960035</c:v>
                </c:pt>
                <c:pt idx="47">
                  <c:v>135.94691754572023</c:v>
                </c:pt>
                <c:pt idx="48">
                  <c:v>134.16284228200414</c:v>
                </c:pt>
                <c:pt idx="49">
                  <c:v>150.01398959740288</c:v>
                </c:pt>
                <c:pt idx="50">
                  <c:v>145.209792718182</c:v>
                </c:pt>
                <c:pt idx="51">
                  <c:v>160.1468549027274</c:v>
                </c:pt>
                <c:pt idx="52">
                  <c:v>155.00279843190916</c:v>
                </c:pt>
                <c:pt idx="53">
                  <c:v>133.10195890233641</c:v>
                </c:pt>
                <c:pt idx="54">
                  <c:v>147.17137123163548</c:v>
                </c:pt>
                <c:pt idx="55">
                  <c:v>142.01995986214484</c:v>
                </c:pt>
                <c:pt idx="56">
                  <c:v>125.21397190350139</c:v>
                </c:pt>
                <c:pt idx="57">
                  <c:v>117.64978033245097</c:v>
                </c:pt>
                <c:pt idx="58">
                  <c:v>127.95484623271568</c:v>
                </c:pt>
                <c:pt idx="59">
                  <c:v>124.96839236290097</c:v>
                </c:pt>
                <c:pt idx="60">
                  <c:v>116.57787465403067</c:v>
                </c:pt>
                <c:pt idx="61">
                  <c:v>106.50451225782146</c:v>
                </c:pt>
                <c:pt idx="62">
                  <c:v>124.95315858047502</c:v>
                </c:pt>
                <c:pt idx="63">
                  <c:v>129.16721100633251</c:v>
                </c:pt>
                <c:pt idx="64">
                  <c:v>118.31704770443275</c:v>
                </c:pt>
                <c:pt idx="65">
                  <c:v>140.72193339310292</c:v>
                </c:pt>
                <c:pt idx="66">
                  <c:v>124.90535337517204</c:v>
                </c:pt>
                <c:pt idx="67">
                  <c:v>138.13374736262043</c:v>
                </c:pt>
                <c:pt idx="68">
                  <c:v>136.29362315383429</c:v>
                </c:pt>
                <c:pt idx="69">
                  <c:v>119.70553620768399</c:v>
                </c:pt>
                <c:pt idx="70">
                  <c:v>132.69387534537879</c:v>
                </c:pt>
                <c:pt idx="71">
                  <c:v>144.18571274176514</c:v>
                </c:pt>
                <c:pt idx="72">
                  <c:v>157.9299989192356</c:v>
                </c:pt>
                <c:pt idx="73">
                  <c:v>152.25099924346492</c:v>
                </c:pt>
                <c:pt idx="74">
                  <c:v>151.57569947042543</c:v>
                </c:pt>
                <c:pt idx="75">
                  <c:v>143.00298962929779</c:v>
                </c:pt>
                <c:pt idx="76">
                  <c:v>126.20209274050843</c:v>
                </c:pt>
                <c:pt idx="77">
                  <c:v>126.14146491835589</c:v>
                </c:pt>
                <c:pt idx="78">
                  <c:v>122.4990254428491</c:v>
                </c:pt>
                <c:pt idx="79">
                  <c:v>132.84931780999437</c:v>
                </c:pt>
                <c:pt idx="80">
                  <c:v>140.99452246699605</c:v>
                </c:pt>
                <c:pt idx="81">
                  <c:v>133.19616572689722</c:v>
                </c:pt>
                <c:pt idx="82">
                  <c:v>131.93731600882805</c:v>
                </c:pt>
                <c:pt idx="83">
                  <c:v>147.25612120617961</c:v>
                </c:pt>
                <c:pt idx="84">
                  <c:v>127.97928484432572</c:v>
                </c:pt>
                <c:pt idx="85">
                  <c:v>113.88549939102799</c:v>
                </c:pt>
                <c:pt idx="86">
                  <c:v>105.21984957371959</c:v>
                </c:pt>
                <c:pt idx="87">
                  <c:v>113.5538947016037</c:v>
                </c:pt>
                <c:pt idx="88">
                  <c:v>134.98772629112258</c:v>
                </c:pt>
                <c:pt idx="89">
                  <c:v>119.39140840378579</c:v>
                </c:pt>
                <c:pt idx="90">
                  <c:v>123.47398588265006</c:v>
                </c:pt>
                <c:pt idx="91">
                  <c:v>138.03179011785502</c:v>
                </c:pt>
                <c:pt idx="92">
                  <c:v>139.22225308249853</c:v>
                </c:pt>
                <c:pt idx="93">
                  <c:v>126.55557715774896</c:v>
                </c:pt>
                <c:pt idx="94">
                  <c:v>139.28890401042426</c:v>
                </c:pt>
                <c:pt idx="95">
                  <c:v>134.40223280729697</c:v>
                </c:pt>
                <c:pt idx="96">
                  <c:v>127.98156296510788</c:v>
                </c:pt>
                <c:pt idx="97">
                  <c:v>135.4870940755755</c:v>
                </c:pt>
                <c:pt idx="98">
                  <c:v>137.14096585290284</c:v>
                </c:pt>
                <c:pt idx="99">
                  <c:v>149.69867609703198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FD-1443-BC23-FF4B925BBEB2}"/>
            </c:ext>
          </c:extLst>
        </c:ser>
        <c:ser>
          <c:idx val="4"/>
          <c:order val="4"/>
          <c:tx>
            <c:strRef>
              <c:f>Supply_Chain_Forecasting!$V$1</c:f>
              <c:strCache>
                <c:ptCount val="1"/>
                <c:pt idx="0">
                  <c:v>Linear Trend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Supply_Chain_Forecasting!$V$2:$V$101</c:f>
              <c:numCache>
                <c:formatCode>0.00</c:formatCode>
                <c:ptCount val="100"/>
                <c:pt idx="0">
                  <c:v>144.90792079207921</c:v>
                </c:pt>
                <c:pt idx="1">
                  <c:v>144.75402340234024</c:v>
                </c:pt>
                <c:pt idx="2">
                  <c:v>144.60012601260127</c:v>
                </c:pt>
                <c:pt idx="3">
                  <c:v>144.44622862286229</c:v>
                </c:pt>
                <c:pt idx="4">
                  <c:v>144.29233123312332</c:v>
                </c:pt>
                <c:pt idx="5">
                  <c:v>144.13843384338435</c:v>
                </c:pt>
                <c:pt idx="6">
                  <c:v>143.98453645364538</c:v>
                </c:pt>
                <c:pt idx="7">
                  <c:v>143.8306390639064</c:v>
                </c:pt>
                <c:pt idx="8">
                  <c:v>143.67674167416743</c:v>
                </c:pt>
                <c:pt idx="9">
                  <c:v>143.52284428442843</c:v>
                </c:pt>
                <c:pt idx="10">
                  <c:v>143.36894689468946</c:v>
                </c:pt>
                <c:pt idx="11">
                  <c:v>143.21504950495049</c:v>
                </c:pt>
                <c:pt idx="12">
                  <c:v>143.06115211521151</c:v>
                </c:pt>
                <c:pt idx="13">
                  <c:v>142.90725472547254</c:v>
                </c:pt>
                <c:pt idx="14">
                  <c:v>142.75335733573357</c:v>
                </c:pt>
                <c:pt idx="15">
                  <c:v>142.5994599459946</c:v>
                </c:pt>
                <c:pt idx="16">
                  <c:v>142.44556255625562</c:v>
                </c:pt>
                <c:pt idx="17">
                  <c:v>142.29166516651665</c:v>
                </c:pt>
                <c:pt idx="18">
                  <c:v>142.13776777677768</c:v>
                </c:pt>
                <c:pt idx="19">
                  <c:v>141.98387038703871</c:v>
                </c:pt>
                <c:pt idx="20">
                  <c:v>141.82997299729973</c:v>
                </c:pt>
                <c:pt idx="21">
                  <c:v>141.67607560756076</c:v>
                </c:pt>
                <c:pt idx="22">
                  <c:v>141.52217821782179</c:v>
                </c:pt>
                <c:pt idx="23">
                  <c:v>141.36828082808282</c:v>
                </c:pt>
                <c:pt idx="24">
                  <c:v>141.21438343834384</c:v>
                </c:pt>
                <c:pt idx="25">
                  <c:v>141.06048604860487</c:v>
                </c:pt>
                <c:pt idx="26">
                  <c:v>140.9065886588659</c:v>
                </c:pt>
                <c:pt idx="27">
                  <c:v>140.7526912691269</c:v>
                </c:pt>
                <c:pt idx="28">
                  <c:v>140.59879387938793</c:v>
                </c:pt>
                <c:pt idx="29">
                  <c:v>140.44489648964895</c:v>
                </c:pt>
                <c:pt idx="30">
                  <c:v>140.29099909990998</c:v>
                </c:pt>
                <c:pt idx="31">
                  <c:v>140.13710171017101</c:v>
                </c:pt>
                <c:pt idx="32">
                  <c:v>139.98320432043204</c:v>
                </c:pt>
                <c:pt idx="33">
                  <c:v>139.82930693069306</c:v>
                </c:pt>
                <c:pt idx="34">
                  <c:v>139.67540954095409</c:v>
                </c:pt>
                <c:pt idx="35">
                  <c:v>139.52151215121512</c:v>
                </c:pt>
                <c:pt idx="36">
                  <c:v>139.36761476147615</c:v>
                </c:pt>
                <c:pt idx="37">
                  <c:v>139.21371737173718</c:v>
                </c:pt>
                <c:pt idx="38">
                  <c:v>139.0598199819982</c:v>
                </c:pt>
                <c:pt idx="39">
                  <c:v>138.90592259225923</c:v>
                </c:pt>
                <c:pt idx="40">
                  <c:v>138.75202520252026</c:v>
                </c:pt>
                <c:pt idx="41">
                  <c:v>138.59812781278129</c:v>
                </c:pt>
                <c:pt idx="42">
                  <c:v>138.44423042304231</c:v>
                </c:pt>
                <c:pt idx="43">
                  <c:v>138.29033303330334</c:v>
                </c:pt>
                <c:pt idx="44">
                  <c:v>138.13643564356437</c:v>
                </c:pt>
                <c:pt idx="45">
                  <c:v>137.9825382538254</c:v>
                </c:pt>
                <c:pt idx="46">
                  <c:v>137.8286408640864</c:v>
                </c:pt>
                <c:pt idx="47">
                  <c:v>137.67474347434742</c:v>
                </c:pt>
                <c:pt idx="48">
                  <c:v>137.52084608460845</c:v>
                </c:pt>
                <c:pt idx="49">
                  <c:v>137.36694869486948</c:v>
                </c:pt>
                <c:pt idx="50">
                  <c:v>137.21305130513051</c:v>
                </c:pt>
                <c:pt idx="51">
                  <c:v>137.05915391539153</c:v>
                </c:pt>
                <c:pt idx="52">
                  <c:v>136.90525652565256</c:v>
                </c:pt>
                <c:pt idx="53">
                  <c:v>136.75135913591359</c:v>
                </c:pt>
                <c:pt idx="54">
                  <c:v>136.59746174617462</c:v>
                </c:pt>
                <c:pt idx="55">
                  <c:v>136.44356435643564</c:v>
                </c:pt>
                <c:pt idx="56">
                  <c:v>136.28966696669667</c:v>
                </c:pt>
                <c:pt idx="57">
                  <c:v>136.1357695769577</c:v>
                </c:pt>
                <c:pt idx="58">
                  <c:v>135.98187218721873</c:v>
                </c:pt>
                <c:pt idx="59">
                  <c:v>135.82797479747975</c:v>
                </c:pt>
                <c:pt idx="60">
                  <c:v>135.67407740774078</c:v>
                </c:pt>
                <c:pt idx="61">
                  <c:v>135.52018001800181</c:v>
                </c:pt>
                <c:pt idx="62">
                  <c:v>135.36628262826284</c:v>
                </c:pt>
                <c:pt idx="63">
                  <c:v>135.21238523852386</c:v>
                </c:pt>
                <c:pt idx="64">
                  <c:v>135.05848784878486</c:v>
                </c:pt>
                <c:pt idx="65">
                  <c:v>134.90459045904589</c:v>
                </c:pt>
                <c:pt idx="66">
                  <c:v>134.75069306930692</c:v>
                </c:pt>
                <c:pt idx="67">
                  <c:v>134.59679567956795</c:v>
                </c:pt>
                <c:pt idx="68">
                  <c:v>134.44289828982897</c:v>
                </c:pt>
                <c:pt idx="69">
                  <c:v>134.28900090009</c:v>
                </c:pt>
                <c:pt idx="70">
                  <c:v>134.13510351035103</c:v>
                </c:pt>
                <c:pt idx="71">
                  <c:v>133.98120612061206</c:v>
                </c:pt>
                <c:pt idx="72">
                  <c:v>133.82730873087309</c:v>
                </c:pt>
                <c:pt idx="73">
                  <c:v>133.67341134113411</c:v>
                </c:pt>
                <c:pt idx="74">
                  <c:v>133.51951395139514</c:v>
                </c:pt>
                <c:pt idx="75">
                  <c:v>133.36561656165617</c:v>
                </c:pt>
                <c:pt idx="76">
                  <c:v>133.2117191719172</c:v>
                </c:pt>
                <c:pt idx="77">
                  <c:v>133.05782178217822</c:v>
                </c:pt>
                <c:pt idx="78">
                  <c:v>132.90392439243925</c:v>
                </c:pt>
                <c:pt idx="79">
                  <c:v>132.75002700270028</c:v>
                </c:pt>
                <c:pt idx="80">
                  <c:v>132.59612961296131</c:v>
                </c:pt>
                <c:pt idx="81">
                  <c:v>132.44223222322233</c:v>
                </c:pt>
                <c:pt idx="82">
                  <c:v>132.28833483348336</c:v>
                </c:pt>
                <c:pt idx="83">
                  <c:v>132.13443744374439</c:v>
                </c:pt>
                <c:pt idx="84">
                  <c:v>131.98054005400539</c:v>
                </c:pt>
                <c:pt idx="85">
                  <c:v>131.82664266426642</c:v>
                </c:pt>
                <c:pt idx="86">
                  <c:v>131.67274527452744</c:v>
                </c:pt>
                <c:pt idx="87">
                  <c:v>131.51884788478847</c:v>
                </c:pt>
                <c:pt idx="88">
                  <c:v>131.3649504950495</c:v>
                </c:pt>
                <c:pt idx="89">
                  <c:v>131.21105310531053</c:v>
                </c:pt>
                <c:pt idx="90">
                  <c:v>131.05715571557155</c:v>
                </c:pt>
                <c:pt idx="91">
                  <c:v>130.90325832583258</c:v>
                </c:pt>
                <c:pt idx="92">
                  <c:v>130.74936093609361</c:v>
                </c:pt>
                <c:pt idx="93">
                  <c:v>130.59546354635464</c:v>
                </c:pt>
                <c:pt idx="94">
                  <c:v>130.44156615661566</c:v>
                </c:pt>
                <c:pt idx="95">
                  <c:v>130.28766876687669</c:v>
                </c:pt>
                <c:pt idx="96">
                  <c:v>130.13377137713772</c:v>
                </c:pt>
                <c:pt idx="97">
                  <c:v>129.97987398739875</c:v>
                </c:pt>
                <c:pt idx="98">
                  <c:v>129.82597659765977</c:v>
                </c:pt>
                <c:pt idx="99">
                  <c:v>129.6720792079208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FD-1443-BC23-FF4B925BBEB2}"/>
            </c:ext>
          </c:extLst>
        </c:ser>
        <c:ser>
          <c:idx val="5"/>
          <c:order val="5"/>
          <c:tx>
            <c:strRef>
              <c:f>Supply_Chain_Forecasting!$W$1</c:f>
              <c:strCache>
                <c:ptCount val="1"/>
                <c:pt idx="0">
                  <c:v>Exponential Smoothing with Seasonality (ETS)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Supply_Chain_Forecasting!$W$2:$W$101</c:f>
              <c:numCache>
                <c:formatCode>0.00</c:formatCode>
                <c:ptCount val="100"/>
                <c:pt idx="0">
                  <c:v>159.53537267326058</c:v>
                </c:pt>
                <c:pt idx="1">
                  <c:v>159.30971624033191</c:v>
                </c:pt>
                <c:pt idx="2">
                  <c:v>159.08405980740335</c:v>
                </c:pt>
                <c:pt idx="3">
                  <c:v>158.8584033744747</c:v>
                </c:pt>
                <c:pt idx="4">
                  <c:v>158.63274694154615</c:v>
                </c:pt>
                <c:pt idx="5">
                  <c:v>158.40709050861747</c:v>
                </c:pt>
                <c:pt idx="6">
                  <c:v>158.18143407568891</c:v>
                </c:pt>
                <c:pt idx="7">
                  <c:v>157.95577764276024</c:v>
                </c:pt>
                <c:pt idx="8">
                  <c:v>157.73012120983171</c:v>
                </c:pt>
                <c:pt idx="9">
                  <c:v>157.50446477690303</c:v>
                </c:pt>
                <c:pt idx="10">
                  <c:v>157.27880834397448</c:v>
                </c:pt>
                <c:pt idx="11">
                  <c:v>157.0531519110458</c:v>
                </c:pt>
                <c:pt idx="12">
                  <c:v>156.82749547811724</c:v>
                </c:pt>
                <c:pt idx="13">
                  <c:v>156.6018390451886</c:v>
                </c:pt>
                <c:pt idx="14">
                  <c:v>156.37618261226004</c:v>
                </c:pt>
                <c:pt idx="15">
                  <c:v>156.15052617933137</c:v>
                </c:pt>
                <c:pt idx="16">
                  <c:v>155.92486974640281</c:v>
                </c:pt>
                <c:pt idx="17">
                  <c:v>155.69921331347416</c:v>
                </c:pt>
                <c:pt idx="18">
                  <c:v>155.4735568805456</c:v>
                </c:pt>
                <c:pt idx="19">
                  <c:v>155.24790044761693</c:v>
                </c:pt>
                <c:pt idx="20">
                  <c:v>155.02224401468837</c:v>
                </c:pt>
                <c:pt idx="21">
                  <c:v>154.79658758175972</c:v>
                </c:pt>
                <c:pt idx="22">
                  <c:v>154.57093114883116</c:v>
                </c:pt>
                <c:pt idx="23">
                  <c:v>154.34527471590249</c:v>
                </c:pt>
                <c:pt idx="24">
                  <c:v>154.11961828297393</c:v>
                </c:pt>
                <c:pt idx="25">
                  <c:v>153.89396185004526</c:v>
                </c:pt>
                <c:pt idx="26">
                  <c:v>153.66830541711673</c:v>
                </c:pt>
                <c:pt idx="27">
                  <c:v>153.44264898418805</c:v>
                </c:pt>
                <c:pt idx="28">
                  <c:v>153.21699255125949</c:v>
                </c:pt>
                <c:pt idx="29">
                  <c:v>152.99133611833082</c:v>
                </c:pt>
                <c:pt idx="30">
                  <c:v>152.76567968540226</c:v>
                </c:pt>
                <c:pt idx="31">
                  <c:v>152.54002325247362</c:v>
                </c:pt>
                <c:pt idx="32">
                  <c:v>152.31436681954506</c:v>
                </c:pt>
                <c:pt idx="33">
                  <c:v>152.08871038661638</c:v>
                </c:pt>
                <c:pt idx="34">
                  <c:v>151.86305395368782</c:v>
                </c:pt>
                <c:pt idx="35">
                  <c:v>151.63739752075918</c:v>
                </c:pt>
                <c:pt idx="36">
                  <c:v>151.41174108783062</c:v>
                </c:pt>
                <c:pt idx="37">
                  <c:v>151.18608465490195</c:v>
                </c:pt>
                <c:pt idx="38">
                  <c:v>150.96042822197339</c:v>
                </c:pt>
                <c:pt idx="39">
                  <c:v>150.73477178904474</c:v>
                </c:pt>
                <c:pt idx="40">
                  <c:v>150.50911535611618</c:v>
                </c:pt>
                <c:pt idx="41">
                  <c:v>150.28345892318751</c:v>
                </c:pt>
                <c:pt idx="42">
                  <c:v>150.05780249025895</c:v>
                </c:pt>
                <c:pt idx="43">
                  <c:v>149.83214605733028</c:v>
                </c:pt>
                <c:pt idx="44">
                  <c:v>149.60648962440175</c:v>
                </c:pt>
                <c:pt idx="45">
                  <c:v>149.38083319147307</c:v>
                </c:pt>
                <c:pt idx="46">
                  <c:v>149.15517675854451</c:v>
                </c:pt>
                <c:pt idx="47">
                  <c:v>148.92952032561584</c:v>
                </c:pt>
                <c:pt idx="48">
                  <c:v>148.70386389268731</c:v>
                </c:pt>
                <c:pt idx="49">
                  <c:v>148.47820745975864</c:v>
                </c:pt>
                <c:pt idx="50">
                  <c:v>148.25255102683008</c:v>
                </c:pt>
                <c:pt idx="51">
                  <c:v>148.0268945939014</c:v>
                </c:pt>
                <c:pt idx="52">
                  <c:v>147.80123816097284</c:v>
                </c:pt>
                <c:pt idx="53">
                  <c:v>147.5755817280442</c:v>
                </c:pt>
                <c:pt idx="54">
                  <c:v>147.34992529511564</c:v>
                </c:pt>
                <c:pt idx="55">
                  <c:v>147.12426886218697</c:v>
                </c:pt>
                <c:pt idx="56">
                  <c:v>146.89861242925841</c:v>
                </c:pt>
                <c:pt idx="57">
                  <c:v>146.67295599632976</c:v>
                </c:pt>
                <c:pt idx="58">
                  <c:v>146.4472995634012</c:v>
                </c:pt>
                <c:pt idx="59">
                  <c:v>146.22164313047253</c:v>
                </c:pt>
                <c:pt idx="60">
                  <c:v>145.99598669754397</c:v>
                </c:pt>
                <c:pt idx="61">
                  <c:v>145.7703302646153</c:v>
                </c:pt>
                <c:pt idx="62">
                  <c:v>145.54467383168677</c:v>
                </c:pt>
                <c:pt idx="63">
                  <c:v>145.31901739875809</c:v>
                </c:pt>
                <c:pt idx="64">
                  <c:v>145.09336096582953</c:v>
                </c:pt>
                <c:pt idx="65">
                  <c:v>144.86770453290086</c:v>
                </c:pt>
                <c:pt idx="66">
                  <c:v>144.64204809997233</c:v>
                </c:pt>
                <c:pt idx="67">
                  <c:v>144.41639166704365</c:v>
                </c:pt>
                <c:pt idx="68">
                  <c:v>144.1907352341151</c:v>
                </c:pt>
                <c:pt idx="69">
                  <c:v>143.96507880118642</c:v>
                </c:pt>
                <c:pt idx="70">
                  <c:v>143.73942236825789</c:v>
                </c:pt>
                <c:pt idx="71">
                  <c:v>143.51376593532922</c:v>
                </c:pt>
                <c:pt idx="72">
                  <c:v>143.28810950240066</c:v>
                </c:pt>
                <c:pt idx="73">
                  <c:v>143.06245306947199</c:v>
                </c:pt>
                <c:pt idx="74">
                  <c:v>142.83679663654343</c:v>
                </c:pt>
                <c:pt idx="75">
                  <c:v>142.61114020361478</c:v>
                </c:pt>
                <c:pt idx="76">
                  <c:v>142.38548377068622</c:v>
                </c:pt>
                <c:pt idx="77">
                  <c:v>142.15982733775755</c:v>
                </c:pt>
                <c:pt idx="78">
                  <c:v>141.93417090482899</c:v>
                </c:pt>
                <c:pt idx="79">
                  <c:v>141.70851447190032</c:v>
                </c:pt>
                <c:pt idx="80">
                  <c:v>141.48285803897178</c:v>
                </c:pt>
                <c:pt idx="81">
                  <c:v>141.25720160604311</c:v>
                </c:pt>
                <c:pt idx="82">
                  <c:v>141.03154517311455</c:v>
                </c:pt>
                <c:pt idx="83">
                  <c:v>140.80588874018588</c:v>
                </c:pt>
                <c:pt idx="84">
                  <c:v>140.58023230725735</c:v>
                </c:pt>
                <c:pt idx="85">
                  <c:v>140.35457587432867</c:v>
                </c:pt>
                <c:pt idx="86">
                  <c:v>140.12891944140011</c:v>
                </c:pt>
                <c:pt idx="87">
                  <c:v>139.90326300847144</c:v>
                </c:pt>
                <c:pt idx="88">
                  <c:v>139.67760657554291</c:v>
                </c:pt>
                <c:pt idx="89">
                  <c:v>139.45195014261424</c:v>
                </c:pt>
                <c:pt idx="90">
                  <c:v>139.22629370968568</c:v>
                </c:pt>
                <c:pt idx="91">
                  <c:v>139.000637276757</c:v>
                </c:pt>
                <c:pt idx="92">
                  <c:v>138.77498084382844</c:v>
                </c:pt>
                <c:pt idx="93">
                  <c:v>138.5493244108998</c:v>
                </c:pt>
                <c:pt idx="94">
                  <c:v>138.32366797797124</c:v>
                </c:pt>
                <c:pt idx="95">
                  <c:v>138.09801154504257</c:v>
                </c:pt>
                <c:pt idx="96">
                  <c:v>137.87235511211401</c:v>
                </c:pt>
                <c:pt idx="97">
                  <c:v>137.64669867918536</c:v>
                </c:pt>
                <c:pt idx="98">
                  <c:v>137.4210422462568</c:v>
                </c:pt>
                <c:pt idx="99">
                  <c:v>137.19538581332813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FD-1443-BC23-FF4B925BB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123664"/>
        <c:axId val="1880713936"/>
      </c:lineChart>
      <c:catAx>
        <c:axId val="1881123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13936"/>
        <c:crosses val="autoZero"/>
        <c:auto val="1"/>
        <c:lblAlgn val="ctr"/>
        <c:lblOffset val="100"/>
        <c:noMultiLvlLbl val="0"/>
      </c:catAx>
      <c:valAx>
        <c:axId val="188071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2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101600</xdr:colOff>
      <xdr:row>12</xdr:row>
      <xdr:rowOff>12700</xdr:rowOff>
    </xdr:from>
    <xdr:to>
      <xdr:col>34</xdr:col>
      <xdr:colOff>431800</xdr:colOff>
      <xdr:row>30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91475D-8CD4-B107-613A-E30CDD66D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603250</xdr:colOff>
      <xdr:row>31</xdr:row>
      <xdr:rowOff>152400</xdr:rowOff>
    </xdr:from>
    <xdr:to>
      <xdr:col>34</xdr:col>
      <xdr:colOff>431800</xdr:colOff>
      <xdr:row>53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B1F7F8-EE03-6E26-4A18-474949986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82550</xdr:colOff>
      <xdr:row>14</xdr:row>
      <xdr:rowOff>63500</xdr:rowOff>
    </xdr:from>
    <xdr:to>
      <xdr:col>51</xdr:col>
      <xdr:colOff>241300</xdr:colOff>
      <xdr:row>43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22D865-E088-3468-B24E-401C27C7E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625431-9223-3441-8A73-0638158F6740}" name="Table3" displayName="Table3" ref="A1:W101" totalsRowShown="0">
  <autoFilter ref="A1:W101" xr:uid="{AA625431-9223-3441-8A73-0638158F6740}"/>
  <tableColumns count="23">
    <tableColumn id="1" xr3:uid="{CB00BEDD-8E31-9C47-84D6-542A557086EE}" name="Period"/>
    <tableColumn id="2" xr3:uid="{DA9CE1C0-53EE-6240-B4A4-C6F546DB4DF9}" name="Actual_Demand"/>
    <tableColumn id="3" xr3:uid="{6DDD86E5-55B0-6142-B0C6-799FDED175BB}" name="Forecast_Demand"/>
    <tableColumn id="4" xr3:uid="{F122FC8C-4212-FF4A-9078-EC796020BB42}" name="Sales_Volume"/>
    <tableColumn id="5" xr3:uid="{BE5EAA8E-E726-9741-8ED9-ADD62528DE6A}" name="Average_Inventory"/>
    <tableColumn id="6" xr3:uid="{02CAA62C-D0EE-6E4B-B0FD-6FECCF0AF796}" name="Inventory_Turnover"/>
    <tableColumn id="7" xr3:uid="{DED078B1-D074-A14D-9A97-FDDB78326A34}" name="Days_Inventory_On_Hand"/>
    <tableColumn id="8" xr3:uid="{318F6CDA-1AE3-2A46-8087-5594004CFB3E}" name="Stockout_Rate_%"/>
    <tableColumn id="9" xr3:uid="{010605D2-AEB1-D14B-9E11-823D4DB0BEA9}" name="Order_Fulfilment_Rate_%"/>
    <tableColumn id="10" xr3:uid="{2E71DB52-EDB4-1E41-9F06-DD2E170498F0}" name="On_Time_Delivery_%"/>
    <tableColumn id="11" xr3:uid="{C8281034-0D5D-8B4E-A89B-8CE624F8623A}" name="Backorder_Units"/>
    <tableColumn id="12" xr3:uid="{DD8F0D71-4C28-AA4F-9B4A-9C08EB3F8AAE}" name="Order_Cycle_Time_Days"/>
    <tableColumn id="13" xr3:uid="{63CDE508-15B7-444D-859F-96312D03D144}" name="Supplier_Lead_Time_Days"/>
    <tableColumn id="14" xr3:uid="{5653F53B-49E9-C549-89B4-CFECB7E3AB19}" name="Lead_Time_Variability_Days"/>
    <tableColumn id="15" xr3:uid="{1CC60CD8-D70C-E649-A400-EA16A6A35800}" name="Throughput_Time_Days"/>
    <tableColumn id="16" xr3:uid="{AAC4E2AC-E830-8948-A61B-56D385CAE6C5}" name="Supply_Chain_Cost_per_Unit"/>
    <tableColumn id="17" xr3:uid="{21990F85-14D7-164F-B60B-C9B2C1D40651}" name="Capacity_Utilisation_%"/>
    <tableColumn id="21" xr3:uid="{7847D4E0-4313-704F-A43B-B123C67289DD}" name="Naïve Forecast" dataDxfId="5">
      <calculatedColumnFormula>B1</calculatedColumnFormula>
    </tableColumn>
    <tableColumn id="22" xr3:uid="{BFECA36C-ABF8-2740-A9F1-25DEF9C393B4}" name="3‑Period Moving Average Forecast" dataDxfId="4">
      <calculatedColumnFormula>AVERAGE(B2:B4)</calculatedColumnFormula>
    </tableColumn>
    <tableColumn id="23" xr3:uid="{53DD2042-4F9D-8A42-AA5E-2E0A4B87EF6B}" name="4‑Period Moving Average Forecast" dataDxfId="3">
      <calculatedColumnFormula>AVERAGE(C2:C5)</calculatedColumnFormula>
    </tableColumn>
    <tableColumn id="24" xr3:uid="{F6FBEF00-D499-E04C-81F0-28A225B9A96A}" name="Simple Exponential Smoothing (SES)" dataDxfId="2"/>
    <tableColumn id="25" xr3:uid="{88814AD2-6469-B142-8288-0FEC1E07329C}" name="Linear Trend Forecast" dataDxfId="1">
      <calculatedColumnFormula>_xlfn.FORECAST.LINEAR(A2, $B$2:$B$101, $A$2:$A$101)</calculatedColumnFormula>
    </tableColumn>
    <tableColumn id="26" xr3:uid="{20E1A8CB-6B5F-8840-8B1F-53BA744C554F}" name="Exponential Smoothing with Seasonality (ETS)" dataDxfId="0">
      <calculatedColumnFormula>_xlfn.FORECAST.ETS(A2, $B$2:$B$101, $A$2:$A$101)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1A2D-76DB-4578-BCE8-C2986A7CDB1D}">
  <dimension ref="A1:AJ1093"/>
  <sheetViews>
    <sheetView tabSelected="1" workbookViewId="0">
      <selection activeCell="T2" sqref="T2:T101"/>
    </sheetView>
  </sheetViews>
  <sheetFormatPr baseColWidth="10" defaultColWidth="8.83203125" defaultRowHeight="15" x14ac:dyDescent="0.2"/>
  <cols>
    <col min="2" max="2" width="15.83203125" customWidth="1"/>
    <col min="3" max="3" width="17.33203125" customWidth="1"/>
    <col min="4" max="4" width="14.33203125" customWidth="1"/>
    <col min="5" max="5" width="18.1640625" customWidth="1"/>
    <col min="6" max="6" width="18.83203125" customWidth="1"/>
    <col min="7" max="7" width="23.1640625" customWidth="1"/>
    <col min="8" max="8" width="16.83203125" customWidth="1"/>
    <col min="9" max="9" width="23.33203125" customWidth="1"/>
    <col min="10" max="10" width="19.83203125" customWidth="1"/>
    <col min="11" max="11" width="16.1640625" customWidth="1"/>
    <col min="12" max="12" width="22" customWidth="1"/>
    <col min="13" max="13" width="23.5" customWidth="1"/>
    <col min="14" max="14" width="25" customWidth="1"/>
    <col min="15" max="15" width="21.5" customWidth="1"/>
    <col min="16" max="16" width="25.6640625" customWidth="1"/>
    <col min="17" max="17" width="21" customWidth="1"/>
    <col min="18" max="18" width="15.1640625" style="1" customWidth="1"/>
    <col min="19" max="19" width="25.5" style="1" customWidth="1"/>
    <col min="20" max="20" width="25.83203125" style="1" customWidth="1"/>
    <col min="21" max="21" width="29.6640625" style="1" customWidth="1"/>
    <col min="22" max="22" width="24.1640625" style="1" customWidth="1"/>
    <col min="23" max="23" width="37" style="1" customWidth="1"/>
    <col min="35" max="35" width="11.83203125" bestFit="1" customWidth="1"/>
    <col min="36" max="36" width="10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36" x14ac:dyDescent="0.2">
      <c r="A2">
        <v>1</v>
      </c>
      <c r="B2">
        <v>182</v>
      </c>
      <c r="C2">
        <v>103</v>
      </c>
      <c r="D2">
        <v>131</v>
      </c>
      <c r="E2">
        <v>602</v>
      </c>
      <c r="F2">
        <v>6.18</v>
      </c>
      <c r="G2">
        <v>51</v>
      </c>
      <c r="H2">
        <v>7.08</v>
      </c>
      <c r="I2">
        <v>92.14</v>
      </c>
      <c r="J2">
        <v>92.98</v>
      </c>
      <c r="K2">
        <v>39</v>
      </c>
      <c r="L2">
        <v>10</v>
      </c>
      <c r="M2">
        <v>14</v>
      </c>
      <c r="N2">
        <v>4</v>
      </c>
      <c r="O2">
        <v>9</v>
      </c>
      <c r="P2">
        <v>9.48</v>
      </c>
      <c r="Q2">
        <v>65.73</v>
      </c>
      <c r="R2" s="3" t="str">
        <f t="shared" ref="R2:R33" si="0">B1</f>
        <v>Actual_Demand</v>
      </c>
      <c r="S2" s="4">
        <f t="shared" ref="S2:S33" si="1">AVERAGE(B2:B4)</f>
        <v>161.66666666666666</v>
      </c>
      <c r="T2" s="4">
        <f t="shared" ref="T2:T33" si="2">AVERAGE(C2:C5)</f>
        <v>132</v>
      </c>
      <c r="U2" s="4">
        <f>Table3[[#This Row],[Actual_Demand]]</f>
        <v>182</v>
      </c>
      <c r="V2" s="4">
        <f>_xlfn.FORECAST.LINEAR(A2, $B$2:$B$101, $A$2:$A$101)</f>
        <v>144.90792079207921</v>
      </c>
      <c r="W2" s="4">
        <f>_xlfn.FORECAST.ETS(A2, $B$2:$B$101, $A$2:$A$101)</f>
        <v>159.53537267326058</v>
      </c>
    </row>
    <row r="3" spans="1:36" x14ac:dyDescent="0.2">
      <c r="A3">
        <v>2</v>
      </c>
      <c r="B3">
        <v>131</v>
      </c>
      <c r="C3">
        <v>184</v>
      </c>
      <c r="D3">
        <v>144</v>
      </c>
      <c r="E3">
        <v>545</v>
      </c>
      <c r="F3">
        <v>5.42</v>
      </c>
      <c r="G3">
        <v>43</v>
      </c>
      <c r="H3">
        <v>4.82</v>
      </c>
      <c r="I3">
        <v>97.47</v>
      </c>
      <c r="J3">
        <v>89.59</v>
      </c>
      <c r="K3">
        <v>38</v>
      </c>
      <c r="L3">
        <v>4</v>
      </c>
      <c r="M3">
        <v>14</v>
      </c>
      <c r="N3">
        <v>2</v>
      </c>
      <c r="O3">
        <v>16</v>
      </c>
      <c r="P3">
        <v>15.74</v>
      </c>
      <c r="Q3">
        <v>87.82</v>
      </c>
      <c r="R3" s="3">
        <f t="shared" si="0"/>
        <v>182</v>
      </c>
      <c r="S3" s="4">
        <f t="shared" si="1"/>
        <v>132.33333333333334</v>
      </c>
      <c r="T3" s="4">
        <f t="shared" si="2"/>
        <v>146.5</v>
      </c>
      <c r="U3" s="4">
        <f>0.3*Table3[[#This Row],[Actual_Demand]]+0.7*U2</f>
        <v>166.7</v>
      </c>
      <c r="V3" s="4">
        <f t="shared" ref="V3:V66" si="3">_xlfn.FORECAST.LINEAR(A3, $B$2:$B$101, $A$2:$A$101)</f>
        <v>144.75402340234024</v>
      </c>
      <c r="W3" s="4">
        <f t="shared" ref="W3:W66" si="4">_xlfn.FORECAST.ETS(A3, $B$2:$B$101, $A$2:$A$101)</f>
        <v>159.30971624033191</v>
      </c>
      <c r="AE3" s="7" t="s">
        <v>34</v>
      </c>
      <c r="AF3" s="7"/>
      <c r="AG3" s="7"/>
      <c r="AH3" s="7"/>
      <c r="AI3" s="7"/>
      <c r="AJ3" s="7"/>
    </row>
    <row r="4" spans="1:36" x14ac:dyDescent="0.2">
      <c r="A4">
        <v>3</v>
      </c>
      <c r="B4">
        <v>172</v>
      </c>
      <c r="C4">
        <v>137</v>
      </c>
      <c r="D4">
        <v>191</v>
      </c>
      <c r="E4">
        <v>710</v>
      </c>
      <c r="F4">
        <v>2.58</v>
      </c>
      <c r="G4">
        <v>31</v>
      </c>
      <c r="H4">
        <v>3.78</v>
      </c>
      <c r="I4">
        <v>89.62</v>
      </c>
      <c r="J4">
        <v>91.68</v>
      </c>
      <c r="K4">
        <v>5</v>
      </c>
      <c r="L4">
        <v>6</v>
      </c>
      <c r="M4">
        <v>23</v>
      </c>
      <c r="N4">
        <v>7</v>
      </c>
      <c r="O4">
        <v>17</v>
      </c>
      <c r="P4">
        <v>16.86</v>
      </c>
      <c r="Q4">
        <v>84.28</v>
      </c>
      <c r="R4" s="3">
        <f t="shared" si="0"/>
        <v>131</v>
      </c>
      <c r="S4" s="4">
        <f t="shared" si="1"/>
        <v>150.66666666666666</v>
      </c>
      <c r="T4" s="4">
        <f t="shared" si="2"/>
        <v>142.25</v>
      </c>
      <c r="U4" s="4">
        <f>0.3*Table3[[#This Row],[Actual_Demand]]+0.7*U3</f>
        <v>168.29</v>
      </c>
      <c r="V4" s="4">
        <f t="shared" si="3"/>
        <v>144.60012601260127</v>
      </c>
      <c r="W4" s="4">
        <f t="shared" si="4"/>
        <v>159.08405980740335</v>
      </c>
    </row>
    <row r="5" spans="1:36" x14ac:dyDescent="0.2">
      <c r="A5">
        <v>4</v>
      </c>
      <c r="B5">
        <v>94</v>
      </c>
      <c r="C5">
        <v>104</v>
      </c>
      <c r="D5">
        <v>188</v>
      </c>
      <c r="E5">
        <v>346</v>
      </c>
      <c r="F5">
        <v>5.69</v>
      </c>
      <c r="G5">
        <v>69</v>
      </c>
      <c r="H5">
        <v>7.05</v>
      </c>
      <c r="I5">
        <v>97.25</v>
      </c>
      <c r="J5">
        <v>94.74</v>
      </c>
      <c r="K5">
        <v>5</v>
      </c>
      <c r="L5">
        <v>7</v>
      </c>
      <c r="M5">
        <v>18</v>
      </c>
      <c r="N5">
        <v>5</v>
      </c>
      <c r="O5">
        <v>9</v>
      </c>
      <c r="P5">
        <v>16.600000000000001</v>
      </c>
      <c r="Q5">
        <v>67.73</v>
      </c>
      <c r="R5" s="3">
        <f t="shared" si="0"/>
        <v>172</v>
      </c>
      <c r="S5" s="4">
        <f t="shared" si="1"/>
        <v>143.66666666666666</v>
      </c>
      <c r="T5" s="4">
        <f t="shared" si="2"/>
        <v>152</v>
      </c>
      <c r="U5" s="4">
        <f>0.3*Table3[[#This Row],[Actual_Demand]]+0.7*U4</f>
        <v>146.00299999999999</v>
      </c>
      <c r="V5" s="4">
        <f t="shared" si="3"/>
        <v>144.44622862286229</v>
      </c>
      <c r="W5" s="4">
        <f t="shared" si="4"/>
        <v>158.8584033744747</v>
      </c>
      <c r="AE5" s="6" t="s">
        <v>23</v>
      </c>
      <c r="AF5" s="6" t="s">
        <v>29</v>
      </c>
      <c r="AG5" s="6" t="s">
        <v>30</v>
      </c>
      <c r="AH5" s="6" t="s">
        <v>31</v>
      </c>
      <c r="AI5" s="6" t="s">
        <v>32</v>
      </c>
      <c r="AJ5" s="6" t="s">
        <v>33</v>
      </c>
    </row>
    <row r="6" spans="1:36" x14ac:dyDescent="0.2">
      <c r="A6">
        <v>5</v>
      </c>
      <c r="B6">
        <v>186</v>
      </c>
      <c r="C6">
        <v>161</v>
      </c>
      <c r="D6">
        <v>161</v>
      </c>
      <c r="E6">
        <v>347</v>
      </c>
      <c r="F6">
        <v>7.94</v>
      </c>
      <c r="G6">
        <v>54</v>
      </c>
      <c r="H6">
        <v>2.4900000000000002</v>
      </c>
      <c r="I6">
        <v>99.52</v>
      </c>
      <c r="J6">
        <v>91.15</v>
      </c>
      <c r="K6">
        <v>2</v>
      </c>
      <c r="L6">
        <v>9</v>
      </c>
      <c r="M6">
        <v>6</v>
      </c>
      <c r="N6">
        <v>6</v>
      </c>
      <c r="O6">
        <v>11</v>
      </c>
      <c r="P6">
        <v>6.83</v>
      </c>
      <c r="Q6">
        <v>62.88</v>
      </c>
      <c r="R6" s="3">
        <f t="shared" si="0"/>
        <v>94</v>
      </c>
      <c r="S6" s="4">
        <f t="shared" si="1"/>
        <v>159</v>
      </c>
      <c r="T6" s="4">
        <f t="shared" si="2"/>
        <v>163.75</v>
      </c>
      <c r="U6" s="4">
        <f>0.3*Table3[[#This Row],[Actual_Demand]]+0.7*U5</f>
        <v>158.00209999999998</v>
      </c>
      <c r="V6" s="4">
        <f t="shared" si="3"/>
        <v>144.29233123312332</v>
      </c>
      <c r="W6" s="4">
        <f t="shared" si="4"/>
        <v>158.63274694154615</v>
      </c>
      <c r="AE6" s="6" t="s">
        <v>24</v>
      </c>
      <c r="AF6" s="5" cm="1">
        <f t="array" ref="AF6">AVERAGE(ABS((B3:B101 - R3:R101) / B3:B101)) * 100</f>
        <v>31.267403636511691</v>
      </c>
      <c r="AG6" s="5" cm="1">
        <f t="array" ref="AG6">AVERAGE(ABS(B3:B101 - R3:R101))</f>
        <v>39.828282828282831</v>
      </c>
      <c r="AH6" s="5" cm="1">
        <f t="array" ref="AH6">SQRT(AVERAGE((B3:B101 - R3:R101)^2))</f>
        <v>48.087987537996902</v>
      </c>
      <c r="AI6" s="5" cm="1">
        <f t="array" ref="AI6">SUM(R3:R101 - B3:B101) / COUNT(B3:B101)</f>
        <v>3.0303030303030304E-2</v>
      </c>
      <c r="AJ6" s="5" cm="1">
        <f t="array" ref="AJ6">(1 - SUM(ABS(B3:B101 - R3:R101)) / SUM(B3:B101)) * 100</f>
        <v>70.893924854211264</v>
      </c>
    </row>
    <row r="7" spans="1:36" x14ac:dyDescent="0.2">
      <c r="A7">
        <v>6</v>
      </c>
      <c r="B7">
        <v>151</v>
      </c>
      <c r="C7">
        <v>167</v>
      </c>
      <c r="D7">
        <v>158</v>
      </c>
      <c r="E7">
        <v>688</v>
      </c>
      <c r="F7">
        <v>2.84</v>
      </c>
      <c r="G7">
        <v>52</v>
      </c>
      <c r="H7">
        <v>3.3</v>
      </c>
      <c r="I7">
        <v>86.33</v>
      </c>
      <c r="J7">
        <v>91.73</v>
      </c>
      <c r="K7">
        <v>6</v>
      </c>
      <c r="L7">
        <v>1</v>
      </c>
      <c r="M7">
        <v>5</v>
      </c>
      <c r="N7">
        <v>2</v>
      </c>
      <c r="O7">
        <v>18</v>
      </c>
      <c r="P7">
        <v>22.55</v>
      </c>
      <c r="Q7">
        <v>83.82</v>
      </c>
      <c r="R7" s="3">
        <f t="shared" si="0"/>
        <v>186</v>
      </c>
      <c r="S7" s="4">
        <f t="shared" si="1"/>
        <v>130.33333333333334</v>
      </c>
      <c r="T7" s="4">
        <f t="shared" si="2"/>
        <v>155.75</v>
      </c>
      <c r="U7" s="4">
        <f>0.3*Table3[[#This Row],[Actual_Demand]]+0.7*U6</f>
        <v>155.90146999999996</v>
      </c>
      <c r="V7" s="4">
        <f t="shared" si="3"/>
        <v>144.13843384338435</v>
      </c>
      <c r="W7" s="4">
        <f t="shared" si="4"/>
        <v>158.40709050861747</v>
      </c>
      <c r="AE7" s="6" t="s">
        <v>25</v>
      </c>
      <c r="AF7" s="5" cm="1">
        <f t="array" ref="AF7">AVERAGE(ABS((B2:B101 - S2:S101) / B2:B101)) * 100</f>
        <v>18.220348142018658</v>
      </c>
      <c r="AG7" s="5" cm="1">
        <f t="array" ref="AG7">AVERAGE(ABS(B2:B101 - S$2:S$101))</f>
        <v>22.323333333333334</v>
      </c>
      <c r="AH7" s="5" cm="1">
        <f t="array" ref="AH7">SQRT(AVERAGE((B$2:B$101 - S$2:S$101)^2))</f>
        <v>27.88661566654034</v>
      </c>
      <c r="AI7" s="5" cm="1">
        <f t="array" ref="AI7">SUM(S$2:S$101 - B$2:B$101) / COUNT(B$2:B$101)</f>
        <v>7.6666666666665856E-2</v>
      </c>
      <c r="AJ7" s="5" cm="1">
        <f t="array" ref="AJ7">(1 - SUM(ABS(B$2:B$101 - S$2:S$101)) / SUM(B$2:B$101)) * 100</f>
        <v>83.740015053293519</v>
      </c>
    </row>
    <row r="8" spans="1:36" x14ac:dyDescent="0.2">
      <c r="A8">
        <v>7</v>
      </c>
      <c r="B8">
        <v>140</v>
      </c>
      <c r="C8">
        <v>176</v>
      </c>
      <c r="D8">
        <v>172</v>
      </c>
      <c r="E8">
        <v>750</v>
      </c>
      <c r="F8">
        <v>5.1100000000000003</v>
      </c>
      <c r="G8">
        <v>52</v>
      </c>
      <c r="H8">
        <v>4.34</v>
      </c>
      <c r="I8">
        <v>96.88</v>
      </c>
      <c r="J8">
        <v>91.29</v>
      </c>
      <c r="K8">
        <v>7</v>
      </c>
      <c r="L8">
        <v>6</v>
      </c>
      <c r="M8">
        <v>27</v>
      </c>
      <c r="N8">
        <v>5</v>
      </c>
      <c r="O8">
        <v>10</v>
      </c>
      <c r="P8">
        <v>10.31</v>
      </c>
      <c r="Q8">
        <v>82.91</v>
      </c>
      <c r="R8" s="3">
        <f t="shared" si="0"/>
        <v>151</v>
      </c>
      <c r="S8" s="4">
        <f t="shared" si="1"/>
        <v>140.66666666666666</v>
      </c>
      <c r="T8" s="4">
        <f t="shared" si="2"/>
        <v>157.5</v>
      </c>
      <c r="U8" s="4">
        <f>0.3*Table3[[#This Row],[Actual_Demand]]+0.7*U7</f>
        <v>151.13102899999996</v>
      </c>
      <c r="V8" s="4">
        <f t="shared" si="3"/>
        <v>143.98453645364538</v>
      </c>
      <c r="W8" s="4">
        <f t="shared" si="4"/>
        <v>158.18143407568891</v>
      </c>
      <c r="AE8" s="8" t="s">
        <v>35</v>
      </c>
      <c r="AF8" s="5" cm="1">
        <f t="array" ref="AF8">AVERAGE(ABS((B2:B101 - T2:T101) / B2:B101)) * 100</f>
        <v>24.127254467266049</v>
      </c>
      <c r="AG8" s="5" cm="1">
        <f t="array" ref="AG8">AVERAGE(ABS(B$2:B$101 - T$2:T$101))</f>
        <v>29.433333333333334</v>
      </c>
      <c r="AH8" s="5" cm="1">
        <f t="array" ref="AH8">SQRT(AVERAGE((B$2:B$101 - T$2:T$101)^2))</f>
        <v>35.490642350406176</v>
      </c>
      <c r="AI8" s="5" cm="1">
        <f t="array" ref="AI8">SUM(T$2:T$101 - B$2:B$101) / COUNT(B$2:B$101)</f>
        <v>0.32166666666666655</v>
      </c>
      <c r="AJ8" s="5" cm="1">
        <f t="array" ref="AJ8">(1 - SUM(ABS(B$2:B$101 - T$2:T$101)) / SUM(B$2:B$101)) * 100</f>
        <v>78.561196494039393</v>
      </c>
    </row>
    <row r="9" spans="1:36" x14ac:dyDescent="0.2">
      <c r="A9">
        <v>8</v>
      </c>
      <c r="B9">
        <v>100</v>
      </c>
      <c r="C9">
        <v>151</v>
      </c>
      <c r="D9">
        <v>131</v>
      </c>
      <c r="E9">
        <v>537</v>
      </c>
      <c r="F9">
        <v>7.26</v>
      </c>
      <c r="G9">
        <v>80</v>
      </c>
      <c r="H9">
        <v>2.54</v>
      </c>
      <c r="I9">
        <v>93.85</v>
      </c>
      <c r="J9">
        <v>87.58</v>
      </c>
      <c r="K9">
        <v>41</v>
      </c>
      <c r="L9">
        <v>7</v>
      </c>
      <c r="M9">
        <v>27</v>
      </c>
      <c r="N9">
        <v>4</v>
      </c>
      <c r="O9">
        <v>9</v>
      </c>
      <c r="P9">
        <v>7.59</v>
      </c>
      <c r="Q9">
        <v>69.56</v>
      </c>
      <c r="R9" s="3">
        <f t="shared" si="0"/>
        <v>140</v>
      </c>
      <c r="S9" s="4">
        <f t="shared" si="1"/>
        <v>148</v>
      </c>
      <c r="T9" s="4">
        <f t="shared" si="2"/>
        <v>155.75</v>
      </c>
      <c r="U9" s="4">
        <f>0.3*Table3[[#This Row],[Actual_Demand]]+0.7*U8</f>
        <v>135.79172029999995</v>
      </c>
      <c r="V9" s="4">
        <f t="shared" si="3"/>
        <v>143.8306390639064</v>
      </c>
      <c r="W9" s="4">
        <f t="shared" si="4"/>
        <v>157.95577764276024</v>
      </c>
      <c r="AE9" s="6" t="s">
        <v>26</v>
      </c>
      <c r="AF9" s="9" cm="1">
        <f t="array" ref="AF9">AVERAGE(ABS((B2:B101 - U2:U101) / B2:B101)) * 100</f>
        <v>17.591881110802255</v>
      </c>
      <c r="AG9" s="9" cm="1">
        <f t="array" ref="AG9">AVERAGE(ABS(B$2:B$101 - U$2:U$101))</f>
        <v>21.444477836332961</v>
      </c>
      <c r="AH9" s="9" cm="1">
        <f t="array" ref="AH9">SQRT(AVERAGE((B$2:B$101 - T$2:T$101)^2))</f>
        <v>35.490642350406176</v>
      </c>
      <c r="AI9" s="9" cm="1">
        <f t="array" ref="AI9">SUM(U$2:U$101 - B$2:B$101) / COUNT(B$2:B$101)</f>
        <v>0.75369755773589509</v>
      </c>
      <c r="AJ9" s="9" cm="1">
        <f t="array" ref="AJ9">(1 - SUM(ABS(B$2:B$101 - U$2:U$101)) / SUM(B$2:B$101)) * 100</f>
        <v>84.380160363950068</v>
      </c>
    </row>
    <row r="10" spans="1:36" x14ac:dyDescent="0.2">
      <c r="A10">
        <v>9</v>
      </c>
      <c r="B10">
        <v>182</v>
      </c>
      <c r="C10">
        <v>129</v>
      </c>
      <c r="D10">
        <v>166</v>
      </c>
      <c r="E10">
        <v>672</v>
      </c>
      <c r="F10">
        <v>6.44</v>
      </c>
      <c r="G10">
        <v>70</v>
      </c>
      <c r="H10">
        <v>4.05</v>
      </c>
      <c r="I10">
        <v>92.2</v>
      </c>
      <c r="J10">
        <v>86.75</v>
      </c>
      <c r="K10">
        <v>14</v>
      </c>
      <c r="L10">
        <v>3</v>
      </c>
      <c r="M10">
        <v>22</v>
      </c>
      <c r="N10">
        <v>9</v>
      </c>
      <c r="O10">
        <v>5</v>
      </c>
      <c r="P10">
        <v>22.77</v>
      </c>
      <c r="Q10">
        <v>93.28</v>
      </c>
      <c r="R10" s="3">
        <f t="shared" si="0"/>
        <v>100</v>
      </c>
      <c r="S10" s="4">
        <f t="shared" si="1"/>
        <v>170</v>
      </c>
      <c r="T10" s="4">
        <f t="shared" si="2"/>
        <v>160.75</v>
      </c>
      <c r="U10" s="4">
        <f>0.3*Table3[[#This Row],[Actual_Demand]]+0.7*U9</f>
        <v>149.65420420999996</v>
      </c>
      <c r="V10" s="4">
        <f t="shared" si="3"/>
        <v>143.67674167416743</v>
      </c>
      <c r="W10" s="4">
        <f t="shared" si="4"/>
        <v>157.73012120983171</v>
      </c>
      <c r="AE10" s="6" t="s">
        <v>27</v>
      </c>
      <c r="AF10" s="5" cm="1">
        <f t="array" ref="AF10">AVERAGE(ABS((B2:B101 - V2:V101) / B2:B101)) * 100</f>
        <v>23.144327338445976</v>
      </c>
      <c r="AG10" s="5" cm="1">
        <f t="array" ref="AG10">AVERAGE(ABS(B$2:B$101 - W$2:W$101))</f>
        <v>29.393876313708343</v>
      </c>
      <c r="AH10" s="5" cm="1">
        <f t="array" ref="AH10">SQRT(AVERAGE((B$2:B$101 - T$2:T$101)^2))</f>
        <v>35.490642350406176</v>
      </c>
      <c r="AI10" s="5" cm="1">
        <f t="array" ref="AI10">SUM(V$2:V$101 - B$2:B$101) / COUNT(B$2:B$101)</f>
        <v>5.6843418860808016E-16</v>
      </c>
      <c r="AJ10" s="5" cm="1">
        <f t="array" ref="AJ10">(1 - SUM(ABS(B$2:B$101 - V$2:V$101)) / SUM(B$2:B$101)) * 100</f>
        <v>79.52347770285806</v>
      </c>
    </row>
    <row r="11" spans="1:36" x14ac:dyDescent="0.2">
      <c r="A11">
        <v>10</v>
      </c>
      <c r="B11">
        <v>162</v>
      </c>
      <c r="C11">
        <v>174</v>
      </c>
      <c r="D11">
        <v>70</v>
      </c>
      <c r="E11">
        <v>350</v>
      </c>
      <c r="F11">
        <v>6.18</v>
      </c>
      <c r="G11">
        <v>62</v>
      </c>
      <c r="H11">
        <v>5.71</v>
      </c>
      <c r="I11">
        <v>91.31</v>
      </c>
      <c r="J11">
        <v>97.99</v>
      </c>
      <c r="K11">
        <v>46</v>
      </c>
      <c r="L11">
        <v>8</v>
      </c>
      <c r="M11">
        <v>11</v>
      </c>
      <c r="N11">
        <v>6</v>
      </c>
      <c r="O11">
        <v>12</v>
      </c>
      <c r="P11">
        <v>24.11</v>
      </c>
      <c r="Q11">
        <v>65.290000000000006</v>
      </c>
      <c r="R11" s="3">
        <f t="shared" si="0"/>
        <v>182</v>
      </c>
      <c r="S11" s="4">
        <f t="shared" si="1"/>
        <v>160.66666666666666</v>
      </c>
      <c r="T11" s="4">
        <f t="shared" si="2"/>
        <v>164</v>
      </c>
      <c r="U11" s="4">
        <f>0.3*Table3[[#This Row],[Actual_Demand]]+0.7*U10</f>
        <v>153.35794294699997</v>
      </c>
      <c r="V11" s="4">
        <f t="shared" si="3"/>
        <v>143.52284428442843</v>
      </c>
      <c r="W11" s="4">
        <f t="shared" si="4"/>
        <v>157.50446477690303</v>
      </c>
      <c r="AE11" s="6" t="s">
        <v>28</v>
      </c>
      <c r="AF11" s="5" cm="1">
        <f t="array" ref="AF11">AVERAGE(ABS((B2:B101 - W2:W101) / B2:B101)) * 100</f>
        <v>25.905491095552279</v>
      </c>
      <c r="AG11" s="5" cm="1">
        <f t="array" ref="AG11">AVERAGE(ABS(B$2:B$101 - V$2:V$101))</f>
        <v>28.112217461746162</v>
      </c>
      <c r="AH11" s="5" cm="1">
        <f t="array" ref="AH11">SQRT(AVERAGE((B$2:B$101 - T$2:T$101)^2))</f>
        <v>35.490642350406176</v>
      </c>
      <c r="AI11" s="5" cm="1">
        <f t="array" ref="AI11">SUM(W$2:W$101 - B$2:B$101) / COUNT(B$2:B$101)</f>
        <v>11.075379243294355</v>
      </c>
      <c r="AJ11" s="5" cm="1">
        <f t="array" ref="AJ11">(1 - SUM(ABS(B$2:B$101 - W$2:W$101)) / SUM(B$2:B$101)) * 100</f>
        <v>78.589936401989704</v>
      </c>
    </row>
    <row r="12" spans="1:36" x14ac:dyDescent="0.2">
      <c r="A12">
        <v>11</v>
      </c>
      <c r="B12">
        <v>166</v>
      </c>
      <c r="C12">
        <v>169</v>
      </c>
      <c r="D12">
        <v>190</v>
      </c>
      <c r="E12">
        <v>614</v>
      </c>
      <c r="F12">
        <v>6.21</v>
      </c>
      <c r="G12">
        <v>31</v>
      </c>
      <c r="H12">
        <v>7.41</v>
      </c>
      <c r="I12">
        <v>96.77</v>
      </c>
      <c r="J12">
        <v>92.15</v>
      </c>
      <c r="K12">
        <v>28</v>
      </c>
      <c r="L12">
        <v>5</v>
      </c>
      <c r="M12">
        <v>12</v>
      </c>
      <c r="N12">
        <v>2</v>
      </c>
      <c r="O12">
        <v>9</v>
      </c>
      <c r="P12">
        <v>22.24</v>
      </c>
      <c r="Q12">
        <v>75.13</v>
      </c>
      <c r="R12" s="3">
        <f t="shared" si="0"/>
        <v>162</v>
      </c>
      <c r="S12" s="4">
        <f t="shared" si="1"/>
        <v>158</v>
      </c>
      <c r="T12" s="4">
        <f t="shared" si="2"/>
        <v>148.75</v>
      </c>
      <c r="U12" s="4">
        <f>0.3*Table3[[#This Row],[Actual_Demand]]+0.7*U11</f>
        <v>157.15056006289996</v>
      </c>
      <c r="V12" s="4">
        <f t="shared" si="3"/>
        <v>143.36894689468946</v>
      </c>
      <c r="W12" s="4">
        <f t="shared" si="4"/>
        <v>157.27880834397448</v>
      </c>
    </row>
    <row r="13" spans="1:36" x14ac:dyDescent="0.2">
      <c r="A13">
        <v>12</v>
      </c>
      <c r="B13">
        <v>154</v>
      </c>
      <c r="C13">
        <v>171</v>
      </c>
      <c r="D13">
        <v>96</v>
      </c>
      <c r="E13">
        <v>497</v>
      </c>
      <c r="F13">
        <v>4.16</v>
      </c>
      <c r="G13">
        <v>86</v>
      </c>
      <c r="H13">
        <v>7.67</v>
      </c>
      <c r="I13">
        <v>94.59</v>
      </c>
      <c r="J13">
        <v>84.89</v>
      </c>
      <c r="K13">
        <v>32</v>
      </c>
      <c r="L13">
        <v>9</v>
      </c>
      <c r="M13">
        <v>5</v>
      </c>
      <c r="N13">
        <v>1</v>
      </c>
      <c r="O13">
        <v>19</v>
      </c>
      <c r="P13">
        <v>21.19</v>
      </c>
      <c r="Q13">
        <v>93.03</v>
      </c>
      <c r="R13" s="3">
        <f t="shared" si="0"/>
        <v>166</v>
      </c>
      <c r="S13" s="4">
        <f t="shared" si="1"/>
        <v>158.33333333333334</v>
      </c>
      <c r="T13" s="4">
        <f t="shared" si="2"/>
        <v>135.25</v>
      </c>
      <c r="U13" s="4">
        <f>0.3*Table3[[#This Row],[Actual_Demand]]+0.7*U12</f>
        <v>156.20539204402996</v>
      </c>
      <c r="V13" s="4">
        <f t="shared" si="3"/>
        <v>143.21504950495049</v>
      </c>
      <c r="W13" s="4">
        <f t="shared" si="4"/>
        <v>157.0531519110458</v>
      </c>
    </row>
    <row r="14" spans="1:36" x14ac:dyDescent="0.2">
      <c r="A14">
        <v>13</v>
      </c>
      <c r="B14">
        <v>154</v>
      </c>
      <c r="C14">
        <v>142</v>
      </c>
      <c r="D14">
        <v>131</v>
      </c>
      <c r="E14">
        <v>462</v>
      </c>
      <c r="F14">
        <v>3.76</v>
      </c>
      <c r="G14">
        <v>84</v>
      </c>
      <c r="H14">
        <v>8.23</v>
      </c>
      <c r="I14">
        <v>97.08</v>
      </c>
      <c r="J14">
        <v>89.96</v>
      </c>
      <c r="K14">
        <v>29</v>
      </c>
      <c r="L14">
        <v>5</v>
      </c>
      <c r="M14">
        <v>29</v>
      </c>
      <c r="N14">
        <v>5</v>
      </c>
      <c r="O14">
        <v>16</v>
      </c>
      <c r="P14">
        <v>18.100000000000001</v>
      </c>
      <c r="Q14">
        <v>74.69</v>
      </c>
      <c r="R14" s="3">
        <f t="shared" si="0"/>
        <v>154</v>
      </c>
      <c r="S14" s="4">
        <f t="shared" si="1"/>
        <v>172.33333333333334</v>
      </c>
      <c r="T14" s="4">
        <f t="shared" si="2"/>
        <v>137</v>
      </c>
      <c r="U14" s="4">
        <f>0.3*Table3[[#This Row],[Actual_Demand]]+0.7*U13</f>
        <v>155.54377443082097</v>
      </c>
      <c r="V14" s="4">
        <f t="shared" si="3"/>
        <v>143.06115211521151</v>
      </c>
      <c r="W14" s="4">
        <f t="shared" si="4"/>
        <v>156.82749547811724</v>
      </c>
    </row>
    <row r="15" spans="1:36" x14ac:dyDescent="0.2">
      <c r="A15">
        <v>14</v>
      </c>
      <c r="B15">
        <v>167</v>
      </c>
      <c r="C15">
        <v>113</v>
      </c>
      <c r="D15">
        <v>190</v>
      </c>
      <c r="E15">
        <v>343</v>
      </c>
      <c r="F15">
        <v>6.86</v>
      </c>
      <c r="G15">
        <v>52</v>
      </c>
      <c r="H15">
        <v>7.44</v>
      </c>
      <c r="I15">
        <v>98.55</v>
      </c>
      <c r="J15">
        <v>86.61</v>
      </c>
      <c r="K15">
        <v>38</v>
      </c>
      <c r="L15">
        <v>9</v>
      </c>
      <c r="M15">
        <v>27</v>
      </c>
      <c r="N15">
        <v>9</v>
      </c>
      <c r="O15">
        <v>5</v>
      </c>
      <c r="P15">
        <v>16.02</v>
      </c>
      <c r="Q15">
        <v>82.35</v>
      </c>
      <c r="R15" s="3">
        <f t="shared" si="0"/>
        <v>154</v>
      </c>
      <c r="S15" s="4">
        <f t="shared" si="1"/>
        <v>180.66666666666666</v>
      </c>
      <c r="T15" s="4">
        <f t="shared" si="2"/>
        <v>138.75</v>
      </c>
      <c r="U15" s="4">
        <f>0.3*Table3[[#This Row],[Actual_Demand]]+0.7*U14</f>
        <v>158.98064210157469</v>
      </c>
      <c r="V15" s="4">
        <f t="shared" si="3"/>
        <v>142.90725472547254</v>
      </c>
      <c r="W15" s="4">
        <f t="shared" si="4"/>
        <v>156.6018390451886</v>
      </c>
    </row>
    <row r="16" spans="1:36" x14ac:dyDescent="0.2">
      <c r="A16">
        <v>15</v>
      </c>
      <c r="B16">
        <v>196</v>
      </c>
      <c r="C16">
        <v>115</v>
      </c>
      <c r="D16">
        <v>185</v>
      </c>
      <c r="E16">
        <v>545</v>
      </c>
      <c r="F16">
        <v>6.86</v>
      </c>
      <c r="G16">
        <v>59</v>
      </c>
      <c r="H16">
        <v>6.81</v>
      </c>
      <c r="I16">
        <v>94.26</v>
      </c>
      <c r="J16">
        <v>98.67</v>
      </c>
      <c r="K16">
        <v>26</v>
      </c>
      <c r="L16">
        <v>10</v>
      </c>
      <c r="M16">
        <v>7</v>
      </c>
      <c r="N16">
        <v>6</v>
      </c>
      <c r="O16">
        <v>14</v>
      </c>
      <c r="P16">
        <v>6.74</v>
      </c>
      <c r="Q16">
        <v>73.92</v>
      </c>
      <c r="R16" s="3">
        <f t="shared" si="0"/>
        <v>167</v>
      </c>
      <c r="S16" s="4">
        <f t="shared" si="1"/>
        <v>186</v>
      </c>
      <c r="T16" s="4">
        <f t="shared" si="2"/>
        <v>143</v>
      </c>
      <c r="U16" s="4">
        <f>0.3*Table3[[#This Row],[Actual_Demand]]+0.7*U15</f>
        <v>170.08644947110227</v>
      </c>
      <c r="V16" s="4">
        <f t="shared" si="3"/>
        <v>142.75335733573357</v>
      </c>
      <c r="W16" s="4">
        <f t="shared" si="4"/>
        <v>156.37618261226004</v>
      </c>
    </row>
    <row r="17" spans="1:23" x14ac:dyDescent="0.2">
      <c r="A17">
        <v>16</v>
      </c>
      <c r="B17">
        <v>179</v>
      </c>
      <c r="C17">
        <v>178</v>
      </c>
      <c r="D17">
        <v>146</v>
      </c>
      <c r="E17">
        <v>771</v>
      </c>
      <c r="F17">
        <v>7.2</v>
      </c>
      <c r="G17">
        <v>62</v>
      </c>
      <c r="H17">
        <v>2.38</v>
      </c>
      <c r="I17">
        <v>99.71</v>
      </c>
      <c r="J17">
        <v>80.150000000000006</v>
      </c>
      <c r="K17">
        <v>35</v>
      </c>
      <c r="L17">
        <v>4</v>
      </c>
      <c r="M17">
        <v>28</v>
      </c>
      <c r="N17">
        <v>7</v>
      </c>
      <c r="O17">
        <v>15</v>
      </c>
      <c r="P17">
        <v>13.17</v>
      </c>
      <c r="Q17">
        <v>69.599999999999994</v>
      </c>
      <c r="R17" s="3">
        <f t="shared" si="0"/>
        <v>196</v>
      </c>
      <c r="S17" s="4">
        <f t="shared" si="1"/>
        <v>155</v>
      </c>
      <c r="T17" s="4">
        <f t="shared" si="2"/>
        <v>143.75</v>
      </c>
      <c r="U17" s="4">
        <f>0.3*Table3[[#This Row],[Actual_Demand]]+0.7*U16</f>
        <v>172.76051462977156</v>
      </c>
      <c r="V17" s="4">
        <f t="shared" si="3"/>
        <v>142.5994599459946</v>
      </c>
      <c r="W17" s="4">
        <f t="shared" si="4"/>
        <v>156.15052617933137</v>
      </c>
    </row>
    <row r="18" spans="1:23" x14ac:dyDescent="0.2">
      <c r="A18">
        <v>17</v>
      </c>
      <c r="B18">
        <v>183</v>
      </c>
      <c r="C18">
        <v>149</v>
      </c>
      <c r="D18">
        <v>174</v>
      </c>
      <c r="E18">
        <v>201</v>
      </c>
      <c r="F18">
        <v>7.48</v>
      </c>
      <c r="G18">
        <v>63</v>
      </c>
      <c r="H18">
        <v>4</v>
      </c>
      <c r="I18">
        <v>94.12</v>
      </c>
      <c r="J18">
        <v>84.51</v>
      </c>
      <c r="K18">
        <v>28</v>
      </c>
      <c r="L18">
        <v>9</v>
      </c>
      <c r="M18">
        <v>27</v>
      </c>
      <c r="N18">
        <v>5</v>
      </c>
      <c r="O18">
        <v>4</v>
      </c>
      <c r="P18">
        <v>12.45</v>
      </c>
      <c r="Q18">
        <v>94.44</v>
      </c>
      <c r="R18" s="3">
        <f t="shared" si="0"/>
        <v>179</v>
      </c>
      <c r="S18" s="4">
        <f t="shared" si="1"/>
        <v>122.66666666666667</v>
      </c>
      <c r="T18" s="4">
        <f t="shared" si="2"/>
        <v>125.25</v>
      </c>
      <c r="U18" s="4">
        <f>0.3*Table3[[#This Row],[Actual_Demand]]+0.7*U17</f>
        <v>175.83236024084007</v>
      </c>
      <c r="V18" s="4">
        <f t="shared" si="3"/>
        <v>142.44556255625562</v>
      </c>
      <c r="W18" s="4">
        <f t="shared" si="4"/>
        <v>155.92486974640281</v>
      </c>
    </row>
    <row r="19" spans="1:23" x14ac:dyDescent="0.2">
      <c r="A19">
        <v>18</v>
      </c>
      <c r="B19">
        <v>103</v>
      </c>
      <c r="C19">
        <v>130</v>
      </c>
      <c r="D19">
        <v>72</v>
      </c>
      <c r="E19">
        <v>503</v>
      </c>
      <c r="F19">
        <v>5.07</v>
      </c>
      <c r="G19">
        <v>48</v>
      </c>
      <c r="H19">
        <v>4.78</v>
      </c>
      <c r="I19">
        <v>94.55</v>
      </c>
      <c r="J19">
        <v>87.31</v>
      </c>
      <c r="K19">
        <v>37</v>
      </c>
      <c r="L19">
        <v>5</v>
      </c>
      <c r="M19">
        <v>12</v>
      </c>
      <c r="N19">
        <v>6</v>
      </c>
      <c r="O19">
        <v>5</v>
      </c>
      <c r="P19">
        <v>10.199999999999999</v>
      </c>
      <c r="Q19">
        <v>74.33</v>
      </c>
      <c r="R19" s="3">
        <f t="shared" si="0"/>
        <v>183</v>
      </c>
      <c r="S19" s="4">
        <f t="shared" si="1"/>
        <v>95.333333333333329</v>
      </c>
      <c r="T19" s="4">
        <f t="shared" si="2"/>
        <v>121.5</v>
      </c>
      <c r="U19" s="4">
        <f>0.3*Table3[[#This Row],[Actual_Demand]]+0.7*U18</f>
        <v>153.98265216858803</v>
      </c>
      <c r="V19" s="4">
        <f t="shared" si="3"/>
        <v>142.29166516651665</v>
      </c>
      <c r="W19" s="4">
        <f t="shared" si="4"/>
        <v>155.69921331347416</v>
      </c>
    </row>
    <row r="20" spans="1:23" x14ac:dyDescent="0.2">
      <c r="A20">
        <v>19</v>
      </c>
      <c r="B20">
        <v>82</v>
      </c>
      <c r="C20">
        <v>118</v>
      </c>
      <c r="D20">
        <v>172</v>
      </c>
      <c r="E20">
        <v>453</v>
      </c>
      <c r="F20">
        <v>5.01</v>
      </c>
      <c r="G20">
        <v>32</v>
      </c>
      <c r="H20">
        <v>0.83</v>
      </c>
      <c r="I20">
        <v>93.32</v>
      </c>
      <c r="J20">
        <v>89.76</v>
      </c>
      <c r="K20">
        <v>32</v>
      </c>
      <c r="L20">
        <v>10</v>
      </c>
      <c r="M20">
        <v>26</v>
      </c>
      <c r="N20">
        <v>5</v>
      </c>
      <c r="O20">
        <v>7</v>
      </c>
      <c r="P20">
        <v>19.47</v>
      </c>
      <c r="Q20">
        <v>91.29</v>
      </c>
      <c r="R20" s="3">
        <f t="shared" si="0"/>
        <v>103</v>
      </c>
      <c r="S20" s="4">
        <f t="shared" si="1"/>
        <v>105</v>
      </c>
      <c r="T20" s="4">
        <f t="shared" si="2"/>
        <v>127.5</v>
      </c>
      <c r="U20" s="4">
        <f>0.3*Table3[[#This Row],[Actual_Demand]]+0.7*U19</f>
        <v>132.38785651801163</v>
      </c>
      <c r="V20" s="4">
        <f t="shared" si="3"/>
        <v>142.13776777677768</v>
      </c>
      <c r="W20" s="4">
        <f t="shared" si="4"/>
        <v>155.4735568805456</v>
      </c>
    </row>
    <row r="21" spans="1:23" x14ac:dyDescent="0.2">
      <c r="A21">
        <v>20</v>
      </c>
      <c r="B21">
        <v>101</v>
      </c>
      <c r="C21">
        <v>104</v>
      </c>
      <c r="D21">
        <v>139</v>
      </c>
      <c r="E21">
        <v>652</v>
      </c>
      <c r="F21">
        <v>6.79</v>
      </c>
      <c r="G21">
        <v>31</v>
      </c>
      <c r="H21">
        <v>5.28</v>
      </c>
      <c r="I21">
        <v>86.37</v>
      </c>
      <c r="J21">
        <v>97.02</v>
      </c>
      <c r="K21">
        <v>36</v>
      </c>
      <c r="L21">
        <v>9</v>
      </c>
      <c r="M21">
        <v>29</v>
      </c>
      <c r="N21">
        <v>9</v>
      </c>
      <c r="O21">
        <v>13</v>
      </c>
      <c r="P21">
        <v>14.92</v>
      </c>
      <c r="Q21">
        <v>68.05</v>
      </c>
      <c r="R21" s="3">
        <f t="shared" si="0"/>
        <v>82</v>
      </c>
      <c r="S21" s="4">
        <f t="shared" si="1"/>
        <v>104.66666666666667</v>
      </c>
      <c r="T21" s="4">
        <f t="shared" si="2"/>
        <v>142.5</v>
      </c>
      <c r="U21" s="4">
        <f>0.3*Table3[[#This Row],[Actual_Demand]]+0.7*U20</f>
        <v>122.97149956260813</v>
      </c>
      <c r="V21" s="4">
        <f t="shared" si="3"/>
        <v>141.98387038703871</v>
      </c>
      <c r="W21" s="4">
        <f t="shared" si="4"/>
        <v>155.24790044761693</v>
      </c>
    </row>
    <row r="22" spans="1:23" x14ac:dyDescent="0.2">
      <c r="A22">
        <v>21</v>
      </c>
      <c r="B22">
        <v>132</v>
      </c>
      <c r="C22">
        <v>134</v>
      </c>
      <c r="D22">
        <v>141</v>
      </c>
      <c r="E22">
        <v>236</v>
      </c>
      <c r="F22">
        <v>5.9</v>
      </c>
      <c r="G22">
        <v>65</v>
      </c>
      <c r="H22">
        <v>4.3600000000000003</v>
      </c>
      <c r="I22">
        <v>95.9</v>
      </c>
      <c r="J22">
        <v>81.760000000000005</v>
      </c>
      <c r="K22">
        <v>26</v>
      </c>
      <c r="L22">
        <v>3</v>
      </c>
      <c r="M22">
        <v>19</v>
      </c>
      <c r="N22">
        <v>6</v>
      </c>
      <c r="O22">
        <v>10</v>
      </c>
      <c r="P22">
        <v>6.62</v>
      </c>
      <c r="Q22">
        <v>67.459999999999994</v>
      </c>
      <c r="R22" s="3">
        <f t="shared" si="0"/>
        <v>101</v>
      </c>
      <c r="S22" s="4">
        <f t="shared" si="1"/>
        <v>126.66666666666667</v>
      </c>
      <c r="T22" s="4">
        <f t="shared" si="2"/>
        <v>156.5</v>
      </c>
      <c r="U22" s="4">
        <f>0.3*Table3[[#This Row],[Actual_Demand]]+0.7*U21</f>
        <v>125.68004969382568</v>
      </c>
      <c r="V22" s="4">
        <f t="shared" si="3"/>
        <v>141.82997299729973</v>
      </c>
      <c r="W22" s="4">
        <f t="shared" si="4"/>
        <v>155.02224401468837</v>
      </c>
    </row>
    <row r="23" spans="1:23" x14ac:dyDescent="0.2">
      <c r="A23">
        <v>22</v>
      </c>
      <c r="B23">
        <v>81</v>
      </c>
      <c r="C23">
        <v>154</v>
      </c>
      <c r="D23">
        <v>96</v>
      </c>
      <c r="E23">
        <v>359</v>
      </c>
      <c r="F23">
        <v>6.21</v>
      </c>
      <c r="G23">
        <v>21</v>
      </c>
      <c r="H23">
        <v>8.02</v>
      </c>
      <c r="I23">
        <v>93.21</v>
      </c>
      <c r="J23">
        <v>96.12</v>
      </c>
      <c r="K23">
        <v>32</v>
      </c>
      <c r="L23">
        <v>4</v>
      </c>
      <c r="M23">
        <v>9</v>
      </c>
      <c r="N23">
        <v>8</v>
      </c>
      <c r="O23">
        <v>14</v>
      </c>
      <c r="P23">
        <v>9.4</v>
      </c>
      <c r="Q23">
        <v>61.09</v>
      </c>
      <c r="R23" s="3">
        <f t="shared" si="0"/>
        <v>132</v>
      </c>
      <c r="S23" s="4">
        <f t="shared" si="1"/>
        <v>145</v>
      </c>
      <c r="T23" s="4">
        <f t="shared" si="2"/>
        <v>147.5</v>
      </c>
      <c r="U23" s="4">
        <f>0.3*Table3[[#This Row],[Actual_Demand]]+0.7*U22</f>
        <v>112.27603478567796</v>
      </c>
      <c r="V23" s="4">
        <f t="shared" si="3"/>
        <v>141.67607560756076</v>
      </c>
      <c r="W23" s="4">
        <f t="shared" si="4"/>
        <v>154.79658758175972</v>
      </c>
    </row>
    <row r="24" spans="1:23" x14ac:dyDescent="0.2">
      <c r="A24">
        <v>23</v>
      </c>
      <c r="B24">
        <v>167</v>
      </c>
      <c r="C24">
        <v>178</v>
      </c>
      <c r="D24">
        <v>78</v>
      </c>
      <c r="E24">
        <v>208</v>
      </c>
      <c r="F24">
        <v>6.77</v>
      </c>
      <c r="G24">
        <v>54</v>
      </c>
      <c r="H24">
        <v>9.7799999999999994</v>
      </c>
      <c r="I24">
        <v>91.76</v>
      </c>
      <c r="J24">
        <v>81.11</v>
      </c>
      <c r="K24">
        <v>3</v>
      </c>
      <c r="L24">
        <v>9</v>
      </c>
      <c r="M24">
        <v>7</v>
      </c>
      <c r="N24">
        <v>2</v>
      </c>
      <c r="O24">
        <v>9</v>
      </c>
      <c r="P24">
        <v>18.670000000000002</v>
      </c>
      <c r="Q24">
        <v>82.81</v>
      </c>
      <c r="R24" s="3">
        <f t="shared" si="0"/>
        <v>81</v>
      </c>
      <c r="S24" s="4">
        <f t="shared" si="1"/>
        <v>154.33333333333334</v>
      </c>
      <c r="T24" s="4">
        <f t="shared" si="2"/>
        <v>153.25</v>
      </c>
      <c r="U24" s="4">
        <f>0.3*Table3[[#This Row],[Actual_Demand]]+0.7*U23</f>
        <v>128.69322434997457</v>
      </c>
      <c r="V24" s="4">
        <f t="shared" si="3"/>
        <v>141.52217821782179</v>
      </c>
      <c r="W24" s="4">
        <f t="shared" si="4"/>
        <v>154.57093114883116</v>
      </c>
    </row>
    <row r="25" spans="1:23" x14ac:dyDescent="0.2">
      <c r="A25">
        <v>24</v>
      </c>
      <c r="B25">
        <v>187</v>
      </c>
      <c r="C25">
        <v>160</v>
      </c>
      <c r="D25">
        <v>131</v>
      </c>
      <c r="E25">
        <v>432</v>
      </c>
      <c r="F25">
        <v>7.34</v>
      </c>
      <c r="G25">
        <v>27</v>
      </c>
      <c r="H25">
        <v>5.56</v>
      </c>
      <c r="I25">
        <v>98.66</v>
      </c>
      <c r="J25">
        <v>96.85</v>
      </c>
      <c r="K25">
        <v>21</v>
      </c>
      <c r="L25">
        <v>10</v>
      </c>
      <c r="M25">
        <v>23</v>
      </c>
      <c r="N25">
        <v>9</v>
      </c>
      <c r="O25">
        <v>17</v>
      </c>
      <c r="P25">
        <v>6.52</v>
      </c>
      <c r="Q25">
        <v>72.900000000000006</v>
      </c>
      <c r="R25" s="3">
        <f t="shared" si="0"/>
        <v>167</v>
      </c>
      <c r="S25" s="4">
        <f t="shared" si="1"/>
        <v>137.66666666666666</v>
      </c>
      <c r="T25" s="4">
        <f t="shared" si="2"/>
        <v>131.25</v>
      </c>
      <c r="U25" s="4">
        <f>0.3*Table3[[#This Row],[Actual_Demand]]+0.7*U24</f>
        <v>146.18525704498219</v>
      </c>
      <c r="V25" s="4">
        <f t="shared" si="3"/>
        <v>141.36828082808282</v>
      </c>
      <c r="W25" s="4">
        <f t="shared" si="4"/>
        <v>154.34527471590249</v>
      </c>
    </row>
    <row r="26" spans="1:23" x14ac:dyDescent="0.2">
      <c r="A26">
        <v>25</v>
      </c>
      <c r="B26">
        <v>109</v>
      </c>
      <c r="C26">
        <v>98</v>
      </c>
      <c r="D26">
        <v>106</v>
      </c>
      <c r="E26">
        <v>298</v>
      </c>
      <c r="F26">
        <v>4.03</v>
      </c>
      <c r="G26">
        <v>45</v>
      </c>
      <c r="H26">
        <v>3.23</v>
      </c>
      <c r="I26">
        <v>89.47</v>
      </c>
      <c r="J26">
        <v>81.03</v>
      </c>
      <c r="K26">
        <v>1</v>
      </c>
      <c r="L26">
        <v>11</v>
      </c>
      <c r="M26">
        <v>5</v>
      </c>
      <c r="N26">
        <v>5</v>
      </c>
      <c r="O26">
        <v>19</v>
      </c>
      <c r="P26">
        <v>22.02</v>
      </c>
      <c r="Q26">
        <v>90.25</v>
      </c>
      <c r="R26" s="3">
        <f t="shared" si="0"/>
        <v>187</v>
      </c>
      <c r="S26" s="4">
        <f t="shared" si="1"/>
        <v>102.33333333333333</v>
      </c>
      <c r="T26" s="4">
        <f t="shared" si="2"/>
        <v>115.5</v>
      </c>
      <c r="U26" s="4">
        <f>0.3*Table3[[#This Row],[Actual_Demand]]+0.7*U25</f>
        <v>135.02967993148752</v>
      </c>
      <c r="V26" s="4">
        <f t="shared" si="3"/>
        <v>141.21438343834384</v>
      </c>
      <c r="W26" s="4">
        <f t="shared" si="4"/>
        <v>154.11961828297393</v>
      </c>
    </row>
    <row r="27" spans="1:23" x14ac:dyDescent="0.2">
      <c r="A27">
        <v>26</v>
      </c>
      <c r="B27">
        <v>117</v>
      </c>
      <c r="C27">
        <v>177</v>
      </c>
      <c r="D27">
        <v>166</v>
      </c>
      <c r="E27">
        <v>407</v>
      </c>
      <c r="F27">
        <v>4.25</v>
      </c>
      <c r="G27">
        <v>53</v>
      </c>
      <c r="H27">
        <v>0.43</v>
      </c>
      <c r="I27">
        <v>92.85</v>
      </c>
      <c r="J27">
        <v>80.36</v>
      </c>
      <c r="K27">
        <v>9</v>
      </c>
      <c r="L27">
        <v>6</v>
      </c>
      <c r="M27">
        <v>19</v>
      </c>
      <c r="N27">
        <v>7</v>
      </c>
      <c r="O27">
        <v>6</v>
      </c>
      <c r="P27">
        <v>14.9</v>
      </c>
      <c r="Q27">
        <v>76.56</v>
      </c>
      <c r="R27" s="3">
        <f t="shared" si="0"/>
        <v>109</v>
      </c>
      <c r="S27" s="4">
        <f t="shared" si="1"/>
        <v>113.66666666666667</v>
      </c>
      <c r="T27" s="4">
        <f t="shared" si="2"/>
        <v>135.25</v>
      </c>
      <c r="U27" s="4">
        <f>0.3*Table3[[#This Row],[Actual_Demand]]+0.7*U26</f>
        <v>129.62077595204127</v>
      </c>
      <c r="V27" s="4">
        <f t="shared" si="3"/>
        <v>141.06048604860487</v>
      </c>
      <c r="W27" s="4">
        <f t="shared" si="4"/>
        <v>153.89396185004526</v>
      </c>
    </row>
    <row r="28" spans="1:23" x14ac:dyDescent="0.2">
      <c r="A28">
        <v>27</v>
      </c>
      <c r="B28">
        <v>81</v>
      </c>
      <c r="C28">
        <v>90</v>
      </c>
      <c r="D28">
        <v>120</v>
      </c>
      <c r="E28">
        <v>330</v>
      </c>
      <c r="F28">
        <v>2.56</v>
      </c>
      <c r="G28">
        <v>26</v>
      </c>
      <c r="H28">
        <v>9.25</v>
      </c>
      <c r="I28">
        <v>95.46</v>
      </c>
      <c r="J28">
        <v>93.94</v>
      </c>
      <c r="K28">
        <v>4</v>
      </c>
      <c r="L28">
        <v>2</v>
      </c>
      <c r="M28">
        <v>12</v>
      </c>
      <c r="N28">
        <v>1</v>
      </c>
      <c r="O28">
        <v>15</v>
      </c>
      <c r="P28">
        <v>14.61</v>
      </c>
      <c r="Q28">
        <v>93.89</v>
      </c>
      <c r="R28" s="3">
        <f t="shared" si="0"/>
        <v>117</v>
      </c>
      <c r="S28" s="4">
        <f t="shared" si="1"/>
        <v>121</v>
      </c>
      <c r="T28" s="4">
        <f t="shared" si="2"/>
        <v>129</v>
      </c>
      <c r="U28" s="4">
        <f>0.3*Table3[[#This Row],[Actual_Demand]]+0.7*U27</f>
        <v>115.03454316642888</v>
      </c>
      <c r="V28" s="4">
        <f t="shared" si="3"/>
        <v>140.9065886588659</v>
      </c>
      <c r="W28" s="4">
        <f t="shared" si="4"/>
        <v>153.66830541711673</v>
      </c>
    </row>
    <row r="29" spans="1:23" x14ac:dyDescent="0.2">
      <c r="A29">
        <v>28</v>
      </c>
      <c r="B29">
        <v>143</v>
      </c>
      <c r="C29">
        <v>97</v>
      </c>
      <c r="D29">
        <v>175</v>
      </c>
      <c r="E29">
        <v>603</v>
      </c>
      <c r="F29">
        <v>5.47</v>
      </c>
      <c r="G29">
        <v>87</v>
      </c>
      <c r="H29">
        <v>9.19</v>
      </c>
      <c r="I29">
        <v>96.95</v>
      </c>
      <c r="J29">
        <v>99.95</v>
      </c>
      <c r="K29">
        <v>9</v>
      </c>
      <c r="L29">
        <v>7</v>
      </c>
      <c r="M29">
        <v>6</v>
      </c>
      <c r="N29">
        <v>5</v>
      </c>
      <c r="O29">
        <v>3</v>
      </c>
      <c r="P29">
        <v>16.850000000000001</v>
      </c>
      <c r="Q29">
        <v>66.489999999999995</v>
      </c>
      <c r="R29" s="3">
        <f t="shared" si="0"/>
        <v>81</v>
      </c>
      <c r="S29" s="4">
        <f t="shared" si="1"/>
        <v>127.33333333333333</v>
      </c>
      <c r="T29" s="4">
        <f t="shared" si="2"/>
        <v>131.5</v>
      </c>
      <c r="U29" s="4">
        <f>0.3*Table3[[#This Row],[Actual_Demand]]+0.7*U28</f>
        <v>123.42418021650022</v>
      </c>
      <c r="V29" s="4">
        <f t="shared" si="3"/>
        <v>140.7526912691269</v>
      </c>
      <c r="W29" s="4">
        <f t="shared" si="4"/>
        <v>153.44264898418805</v>
      </c>
    </row>
    <row r="30" spans="1:23" x14ac:dyDescent="0.2">
      <c r="A30">
        <v>29</v>
      </c>
      <c r="B30">
        <v>139</v>
      </c>
      <c r="C30">
        <v>177</v>
      </c>
      <c r="D30">
        <v>113</v>
      </c>
      <c r="E30">
        <v>351</v>
      </c>
      <c r="F30">
        <v>2.2200000000000002</v>
      </c>
      <c r="G30">
        <v>77</v>
      </c>
      <c r="H30">
        <v>2.5299999999999998</v>
      </c>
      <c r="I30">
        <v>91.89</v>
      </c>
      <c r="J30">
        <v>97.93</v>
      </c>
      <c r="K30">
        <v>32</v>
      </c>
      <c r="L30">
        <v>2</v>
      </c>
      <c r="M30">
        <v>7</v>
      </c>
      <c r="N30">
        <v>2</v>
      </c>
      <c r="O30">
        <v>18</v>
      </c>
      <c r="P30">
        <v>21.49</v>
      </c>
      <c r="Q30">
        <v>90.4</v>
      </c>
      <c r="R30" s="3">
        <f t="shared" si="0"/>
        <v>143</v>
      </c>
      <c r="S30" s="4">
        <f t="shared" si="1"/>
        <v>117</v>
      </c>
      <c r="T30" s="4">
        <f t="shared" si="2"/>
        <v>149.75</v>
      </c>
      <c r="U30" s="4">
        <f>0.3*Table3[[#This Row],[Actual_Demand]]+0.7*U29</f>
        <v>128.09692615155015</v>
      </c>
      <c r="V30" s="4">
        <f t="shared" si="3"/>
        <v>140.59879387938793</v>
      </c>
      <c r="W30" s="4">
        <f t="shared" si="4"/>
        <v>153.21699255125949</v>
      </c>
    </row>
    <row r="31" spans="1:23" x14ac:dyDescent="0.2">
      <c r="A31">
        <v>30</v>
      </c>
      <c r="B31">
        <v>100</v>
      </c>
      <c r="C31">
        <v>152</v>
      </c>
      <c r="D31">
        <v>93</v>
      </c>
      <c r="E31">
        <v>253</v>
      </c>
      <c r="F31">
        <v>4.79</v>
      </c>
      <c r="G31">
        <v>48</v>
      </c>
      <c r="H31">
        <v>6.95</v>
      </c>
      <c r="I31">
        <v>97.63</v>
      </c>
      <c r="J31">
        <v>91.52</v>
      </c>
      <c r="K31">
        <v>37</v>
      </c>
      <c r="L31">
        <v>11</v>
      </c>
      <c r="M31">
        <v>28</v>
      </c>
      <c r="N31">
        <v>6</v>
      </c>
      <c r="O31">
        <v>15</v>
      </c>
      <c r="P31">
        <v>11.96</v>
      </c>
      <c r="Q31">
        <v>87.18</v>
      </c>
      <c r="R31" s="3">
        <f t="shared" si="0"/>
        <v>139</v>
      </c>
      <c r="S31" s="4">
        <f t="shared" si="1"/>
        <v>122.33333333333333</v>
      </c>
      <c r="T31" s="4">
        <f t="shared" si="2"/>
        <v>129.75</v>
      </c>
      <c r="U31" s="4">
        <f>0.3*Table3[[#This Row],[Actual_Demand]]+0.7*U30</f>
        <v>119.66784830608511</v>
      </c>
      <c r="V31" s="4">
        <f t="shared" si="3"/>
        <v>140.44489648964895</v>
      </c>
      <c r="W31" s="4">
        <f t="shared" si="4"/>
        <v>152.99133611833082</v>
      </c>
    </row>
    <row r="32" spans="1:23" x14ac:dyDescent="0.2">
      <c r="A32">
        <v>31</v>
      </c>
      <c r="B32">
        <v>112</v>
      </c>
      <c r="C32">
        <v>100</v>
      </c>
      <c r="D32">
        <v>148</v>
      </c>
      <c r="E32">
        <v>319</v>
      </c>
      <c r="F32">
        <v>5.26</v>
      </c>
      <c r="G32">
        <v>55</v>
      </c>
      <c r="H32">
        <v>0.75</v>
      </c>
      <c r="I32">
        <v>96.53</v>
      </c>
      <c r="J32">
        <v>98.35</v>
      </c>
      <c r="K32">
        <v>12</v>
      </c>
      <c r="L32">
        <v>2</v>
      </c>
      <c r="M32">
        <v>18</v>
      </c>
      <c r="N32">
        <v>1</v>
      </c>
      <c r="O32">
        <v>12</v>
      </c>
      <c r="P32">
        <v>18.559999999999999</v>
      </c>
      <c r="Q32">
        <v>86.98</v>
      </c>
      <c r="R32" s="3">
        <f t="shared" si="0"/>
        <v>100</v>
      </c>
      <c r="S32" s="4">
        <f t="shared" si="1"/>
        <v>134.66666666666666</v>
      </c>
      <c r="T32" s="4">
        <f t="shared" si="2"/>
        <v>122.75</v>
      </c>
      <c r="U32" s="4">
        <f>0.3*Table3[[#This Row],[Actual_Demand]]+0.7*U31</f>
        <v>117.36749381425957</v>
      </c>
      <c r="V32" s="4">
        <f t="shared" si="3"/>
        <v>140.29099909990998</v>
      </c>
      <c r="W32" s="4">
        <f t="shared" si="4"/>
        <v>152.76567968540226</v>
      </c>
    </row>
    <row r="33" spans="1:23" x14ac:dyDescent="0.2">
      <c r="A33">
        <v>32</v>
      </c>
      <c r="B33">
        <v>155</v>
      </c>
      <c r="C33">
        <v>170</v>
      </c>
      <c r="D33">
        <v>128</v>
      </c>
      <c r="E33">
        <v>786</v>
      </c>
      <c r="F33">
        <v>3.72</v>
      </c>
      <c r="G33">
        <v>40</v>
      </c>
      <c r="H33">
        <v>1.66</v>
      </c>
      <c r="I33">
        <v>85.99</v>
      </c>
      <c r="J33">
        <v>80.11</v>
      </c>
      <c r="K33">
        <v>30</v>
      </c>
      <c r="L33">
        <v>11</v>
      </c>
      <c r="M33">
        <v>28</v>
      </c>
      <c r="N33">
        <v>3</v>
      </c>
      <c r="O33">
        <v>14</v>
      </c>
      <c r="P33">
        <v>16.309999999999999</v>
      </c>
      <c r="Q33">
        <v>89.57</v>
      </c>
      <c r="R33" s="3">
        <f t="shared" si="0"/>
        <v>112</v>
      </c>
      <c r="S33" s="4">
        <f t="shared" si="1"/>
        <v>131</v>
      </c>
      <c r="T33" s="4">
        <f t="shared" si="2"/>
        <v>128.75</v>
      </c>
      <c r="U33" s="4">
        <f>0.3*Table3[[#This Row],[Actual_Demand]]+0.7*U32</f>
        <v>128.65724566998171</v>
      </c>
      <c r="V33" s="4">
        <f t="shared" si="3"/>
        <v>140.13710171017101</v>
      </c>
      <c r="W33" s="4">
        <f t="shared" si="4"/>
        <v>152.54002325247362</v>
      </c>
    </row>
    <row r="34" spans="1:23" x14ac:dyDescent="0.2">
      <c r="A34">
        <v>33</v>
      </c>
      <c r="B34">
        <v>137</v>
      </c>
      <c r="C34">
        <v>97</v>
      </c>
      <c r="D34">
        <v>187</v>
      </c>
      <c r="E34">
        <v>619</v>
      </c>
      <c r="F34">
        <v>5.54</v>
      </c>
      <c r="G34">
        <v>55</v>
      </c>
      <c r="H34">
        <v>2.17</v>
      </c>
      <c r="I34">
        <v>85.69</v>
      </c>
      <c r="J34">
        <v>99.5</v>
      </c>
      <c r="K34">
        <v>46</v>
      </c>
      <c r="L34">
        <v>1</v>
      </c>
      <c r="M34">
        <v>18</v>
      </c>
      <c r="N34">
        <v>5</v>
      </c>
      <c r="O34">
        <v>4</v>
      </c>
      <c r="P34">
        <v>10.34</v>
      </c>
      <c r="Q34">
        <v>86.64</v>
      </c>
      <c r="R34" s="3">
        <f t="shared" ref="R34:R65" si="5">B33</f>
        <v>155</v>
      </c>
      <c r="S34" s="4">
        <f t="shared" ref="S34:S65" si="6">AVERAGE(B34:B36)</f>
        <v>141.66666666666666</v>
      </c>
      <c r="T34" s="4">
        <f t="shared" ref="T34:T65" si="7">AVERAGE(C34:C37)</f>
        <v>116.75</v>
      </c>
      <c r="U34" s="4">
        <f>0.3*Table3[[#This Row],[Actual_Demand]]+0.7*U33</f>
        <v>131.16007196898718</v>
      </c>
      <c r="V34" s="4">
        <f t="shared" si="3"/>
        <v>139.98320432043204</v>
      </c>
      <c r="W34" s="4">
        <f t="shared" si="4"/>
        <v>152.31436681954506</v>
      </c>
    </row>
    <row r="35" spans="1:23" x14ac:dyDescent="0.2">
      <c r="A35">
        <v>34</v>
      </c>
      <c r="B35">
        <v>101</v>
      </c>
      <c r="C35">
        <v>124</v>
      </c>
      <c r="D35">
        <v>101</v>
      </c>
      <c r="E35">
        <v>621</v>
      </c>
      <c r="F35">
        <v>2.1800000000000002</v>
      </c>
      <c r="G35">
        <v>29</v>
      </c>
      <c r="H35">
        <v>2.94</v>
      </c>
      <c r="I35">
        <v>94.31</v>
      </c>
      <c r="J35">
        <v>89.81</v>
      </c>
      <c r="K35">
        <v>35</v>
      </c>
      <c r="L35">
        <v>11</v>
      </c>
      <c r="M35">
        <v>15</v>
      </c>
      <c r="N35">
        <v>4</v>
      </c>
      <c r="O35">
        <v>5</v>
      </c>
      <c r="P35">
        <v>22.57</v>
      </c>
      <c r="Q35">
        <v>81.92</v>
      </c>
      <c r="R35" s="3">
        <f t="shared" si="5"/>
        <v>137</v>
      </c>
      <c r="S35" s="4">
        <f t="shared" si="6"/>
        <v>152</v>
      </c>
      <c r="T35" s="4">
        <f t="shared" si="7"/>
        <v>116</v>
      </c>
      <c r="U35" s="4">
        <f>0.3*Table3[[#This Row],[Actual_Demand]]+0.7*U34</f>
        <v>122.11205037829102</v>
      </c>
      <c r="V35" s="4">
        <f t="shared" si="3"/>
        <v>139.82930693069306</v>
      </c>
      <c r="W35" s="4">
        <f t="shared" si="4"/>
        <v>152.08871038661638</v>
      </c>
    </row>
    <row r="36" spans="1:23" x14ac:dyDescent="0.2">
      <c r="A36">
        <v>35</v>
      </c>
      <c r="B36">
        <v>187</v>
      </c>
      <c r="C36">
        <v>124</v>
      </c>
      <c r="D36">
        <v>165</v>
      </c>
      <c r="E36">
        <v>303</v>
      </c>
      <c r="F36">
        <v>2.2200000000000002</v>
      </c>
      <c r="G36">
        <v>43</v>
      </c>
      <c r="H36">
        <v>9.9600000000000009</v>
      </c>
      <c r="I36">
        <v>90.21</v>
      </c>
      <c r="J36">
        <v>94.46</v>
      </c>
      <c r="K36">
        <v>44</v>
      </c>
      <c r="L36">
        <v>11</v>
      </c>
      <c r="M36">
        <v>20</v>
      </c>
      <c r="N36">
        <v>3</v>
      </c>
      <c r="O36">
        <v>12</v>
      </c>
      <c r="P36">
        <v>20.95</v>
      </c>
      <c r="Q36">
        <v>64.59</v>
      </c>
      <c r="R36" s="3">
        <f t="shared" si="5"/>
        <v>101</v>
      </c>
      <c r="S36" s="4">
        <f t="shared" si="6"/>
        <v>161</v>
      </c>
      <c r="T36" s="4">
        <f t="shared" si="7"/>
        <v>117.5</v>
      </c>
      <c r="U36" s="4">
        <f>0.3*Table3[[#This Row],[Actual_Demand]]+0.7*U35</f>
        <v>141.57843526480372</v>
      </c>
      <c r="V36" s="4">
        <f t="shared" si="3"/>
        <v>139.67540954095409</v>
      </c>
      <c r="W36" s="4">
        <f t="shared" si="4"/>
        <v>151.86305395368782</v>
      </c>
    </row>
    <row r="37" spans="1:23" x14ac:dyDescent="0.2">
      <c r="A37">
        <v>36</v>
      </c>
      <c r="B37">
        <v>168</v>
      </c>
      <c r="C37">
        <v>122</v>
      </c>
      <c r="D37">
        <v>157</v>
      </c>
      <c r="E37">
        <v>453</v>
      </c>
      <c r="F37">
        <v>6.94</v>
      </c>
      <c r="G37">
        <v>83</v>
      </c>
      <c r="H37">
        <v>6.97</v>
      </c>
      <c r="I37">
        <v>88.14</v>
      </c>
      <c r="J37">
        <v>96.42</v>
      </c>
      <c r="K37">
        <v>23</v>
      </c>
      <c r="L37">
        <v>12</v>
      </c>
      <c r="M37">
        <v>8</v>
      </c>
      <c r="N37">
        <v>5</v>
      </c>
      <c r="O37">
        <v>4</v>
      </c>
      <c r="P37">
        <v>18.170000000000002</v>
      </c>
      <c r="Q37">
        <v>61.14</v>
      </c>
      <c r="R37" s="3">
        <f t="shared" si="5"/>
        <v>187</v>
      </c>
      <c r="S37" s="4">
        <f t="shared" si="6"/>
        <v>155.33333333333334</v>
      </c>
      <c r="T37" s="4">
        <f t="shared" si="7"/>
        <v>115.75</v>
      </c>
      <c r="U37" s="4">
        <f>0.3*Table3[[#This Row],[Actual_Demand]]+0.7*U36</f>
        <v>149.50490468536259</v>
      </c>
      <c r="V37" s="4">
        <f t="shared" si="3"/>
        <v>139.52151215121512</v>
      </c>
      <c r="W37" s="4">
        <f t="shared" si="4"/>
        <v>151.63739752075918</v>
      </c>
    </row>
    <row r="38" spans="1:23" x14ac:dyDescent="0.2">
      <c r="A38">
        <v>37</v>
      </c>
      <c r="B38">
        <v>128</v>
      </c>
      <c r="C38">
        <v>94</v>
      </c>
      <c r="D38">
        <v>174</v>
      </c>
      <c r="E38">
        <v>426</v>
      </c>
      <c r="F38">
        <v>4.16</v>
      </c>
      <c r="G38">
        <v>68</v>
      </c>
      <c r="H38">
        <v>3.84</v>
      </c>
      <c r="I38">
        <v>93.69</v>
      </c>
      <c r="J38">
        <v>94.37</v>
      </c>
      <c r="K38">
        <v>14</v>
      </c>
      <c r="L38">
        <v>11</v>
      </c>
      <c r="M38">
        <v>24</v>
      </c>
      <c r="N38">
        <v>8</v>
      </c>
      <c r="O38">
        <v>15</v>
      </c>
      <c r="P38">
        <v>22.01</v>
      </c>
      <c r="Q38">
        <v>92.23</v>
      </c>
      <c r="R38" s="3">
        <f t="shared" si="5"/>
        <v>168</v>
      </c>
      <c r="S38" s="4">
        <f t="shared" si="6"/>
        <v>145.33333333333334</v>
      </c>
      <c r="T38" s="4">
        <f t="shared" si="7"/>
        <v>109.25</v>
      </c>
      <c r="U38" s="4">
        <f>0.3*Table3[[#This Row],[Actual_Demand]]+0.7*U37</f>
        <v>143.05343327975382</v>
      </c>
      <c r="V38" s="4">
        <f t="shared" si="3"/>
        <v>139.36761476147615</v>
      </c>
      <c r="W38" s="4">
        <f t="shared" si="4"/>
        <v>151.41174108783062</v>
      </c>
    </row>
    <row r="39" spans="1:23" x14ac:dyDescent="0.2">
      <c r="A39">
        <v>38</v>
      </c>
      <c r="B39">
        <v>170</v>
      </c>
      <c r="C39">
        <v>130</v>
      </c>
      <c r="D39">
        <v>121</v>
      </c>
      <c r="E39">
        <v>311</v>
      </c>
      <c r="F39">
        <v>2.76</v>
      </c>
      <c r="G39">
        <v>55</v>
      </c>
      <c r="H39">
        <v>7.37</v>
      </c>
      <c r="I39">
        <v>90.12</v>
      </c>
      <c r="J39">
        <v>90.7</v>
      </c>
      <c r="K39">
        <v>28</v>
      </c>
      <c r="L39">
        <v>3</v>
      </c>
      <c r="M39">
        <v>9</v>
      </c>
      <c r="N39">
        <v>4</v>
      </c>
      <c r="O39">
        <v>15</v>
      </c>
      <c r="P39">
        <v>22.35</v>
      </c>
      <c r="Q39">
        <v>81.58</v>
      </c>
      <c r="R39" s="3">
        <f t="shared" si="5"/>
        <v>128</v>
      </c>
      <c r="S39" s="4">
        <f t="shared" si="6"/>
        <v>143</v>
      </c>
      <c r="T39" s="4">
        <f t="shared" si="7"/>
        <v>126.25</v>
      </c>
      <c r="U39" s="4">
        <f>0.3*Table3[[#This Row],[Actual_Demand]]+0.7*U38</f>
        <v>151.13740329582765</v>
      </c>
      <c r="V39" s="4">
        <f t="shared" si="3"/>
        <v>139.21371737173718</v>
      </c>
      <c r="W39" s="4">
        <f t="shared" si="4"/>
        <v>151.18608465490195</v>
      </c>
    </row>
    <row r="40" spans="1:23" x14ac:dyDescent="0.2">
      <c r="A40">
        <v>39</v>
      </c>
      <c r="B40">
        <v>138</v>
      </c>
      <c r="C40">
        <v>117</v>
      </c>
      <c r="D40">
        <v>182</v>
      </c>
      <c r="E40">
        <v>709</v>
      </c>
      <c r="F40">
        <v>5.13</v>
      </c>
      <c r="G40">
        <v>43</v>
      </c>
      <c r="H40">
        <v>9.15</v>
      </c>
      <c r="I40">
        <v>93.06</v>
      </c>
      <c r="J40">
        <v>89.53</v>
      </c>
      <c r="K40">
        <v>7</v>
      </c>
      <c r="L40">
        <v>6</v>
      </c>
      <c r="M40">
        <v>26</v>
      </c>
      <c r="N40">
        <v>1</v>
      </c>
      <c r="O40">
        <v>5</v>
      </c>
      <c r="P40">
        <v>19.170000000000002</v>
      </c>
      <c r="Q40">
        <v>87.88</v>
      </c>
      <c r="R40" s="3">
        <f t="shared" si="5"/>
        <v>170</v>
      </c>
      <c r="S40" s="4">
        <f t="shared" si="6"/>
        <v>143.33333333333334</v>
      </c>
      <c r="T40" s="4">
        <f t="shared" si="7"/>
        <v>134</v>
      </c>
      <c r="U40" s="4">
        <f>0.3*Table3[[#This Row],[Actual_Demand]]+0.7*U39</f>
        <v>147.19618230707934</v>
      </c>
      <c r="V40" s="4">
        <f t="shared" si="3"/>
        <v>139.0598199819982</v>
      </c>
      <c r="W40" s="4">
        <f t="shared" si="4"/>
        <v>150.96042822197339</v>
      </c>
    </row>
    <row r="41" spans="1:23" x14ac:dyDescent="0.2">
      <c r="A41">
        <v>40</v>
      </c>
      <c r="B41">
        <v>121</v>
      </c>
      <c r="C41">
        <v>96</v>
      </c>
      <c r="D41">
        <v>131</v>
      </c>
      <c r="E41">
        <v>672</v>
      </c>
      <c r="F41">
        <v>6.62</v>
      </c>
      <c r="G41">
        <v>42</v>
      </c>
      <c r="H41">
        <v>9.59</v>
      </c>
      <c r="I41">
        <v>91.9</v>
      </c>
      <c r="J41">
        <v>96.77</v>
      </c>
      <c r="K41">
        <v>4</v>
      </c>
      <c r="L41">
        <v>8</v>
      </c>
      <c r="M41">
        <v>25</v>
      </c>
      <c r="N41">
        <v>7</v>
      </c>
      <c r="O41">
        <v>9</v>
      </c>
      <c r="P41">
        <v>21.74</v>
      </c>
      <c r="Q41">
        <v>76.849999999999994</v>
      </c>
      <c r="R41" s="3">
        <f t="shared" si="5"/>
        <v>138</v>
      </c>
      <c r="S41" s="4">
        <f t="shared" si="6"/>
        <v>143.66666666666666</v>
      </c>
      <c r="T41" s="4">
        <f t="shared" si="7"/>
        <v>130</v>
      </c>
      <c r="U41" s="4">
        <f>0.3*Table3[[#This Row],[Actual_Demand]]+0.7*U40</f>
        <v>139.33732761495554</v>
      </c>
      <c r="V41" s="4">
        <f t="shared" si="3"/>
        <v>138.90592259225923</v>
      </c>
      <c r="W41" s="4">
        <f t="shared" si="4"/>
        <v>150.73477178904474</v>
      </c>
    </row>
    <row r="42" spans="1:23" x14ac:dyDescent="0.2">
      <c r="A42">
        <v>41</v>
      </c>
      <c r="B42">
        <v>171</v>
      </c>
      <c r="C42">
        <v>162</v>
      </c>
      <c r="D42">
        <v>182</v>
      </c>
      <c r="E42">
        <v>298</v>
      </c>
      <c r="F42">
        <v>3.29</v>
      </c>
      <c r="G42">
        <v>81</v>
      </c>
      <c r="H42">
        <v>0.57999999999999996</v>
      </c>
      <c r="I42">
        <v>93.77</v>
      </c>
      <c r="J42">
        <v>84.1</v>
      </c>
      <c r="K42">
        <v>28</v>
      </c>
      <c r="L42">
        <v>9</v>
      </c>
      <c r="M42">
        <v>18</v>
      </c>
      <c r="N42">
        <v>8</v>
      </c>
      <c r="O42">
        <v>16</v>
      </c>
      <c r="P42">
        <v>18.95</v>
      </c>
      <c r="Q42">
        <v>64.11</v>
      </c>
      <c r="R42" s="3">
        <f t="shared" si="5"/>
        <v>121</v>
      </c>
      <c r="S42" s="4">
        <f t="shared" si="6"/>
        <v>156.33333333333334</v>
      </c>
      <c r="T42" s="4">
        <f t="shared" si="7"/>
        <v>136.75</v>
      </c>
      <c r="U42" s="4">
        <f>0.3*Table3[[#This Row],[Actual_Demand]]+0.7*U41</f>
        <v>148.83612933046885</v>
      </c>
      <c r="V42" s="4">
        <f t="shared" si="3"/>
        <v>138.75202520252026</v>
      </c>
      <c r="W42" s="4">
        <f t="shared" si="4"/>
        <v>150.50911535611618</v>
      </c>
    </row>
    <row r="43" spans="1:23" x14ac:dyDescent="0.2">
      <c r="A43">
        <v>42</v>
      </c>
      <c r="B43">
        <v>139</v>
      </c>
      <c r="C43">
        <v>161</v>
      </c>
      <c r="D43">
        <v>127</v>
      </c>
      <c r="E43">
        <v>352</v>
      </c>
      <c r="F43">
        <v>5.74</v>
      </c>
      <c r="G43">
        <v>56</v>
      </c>
      <c r="H43">
        <v>3.95</v>
      </c>
      <c r="I43">
        <v>91</v>
      </c>
      <c r="J43">
        <v>99.36</v>
      </c>
      <c r="K43">
        <v>46</v>
      </c>
      <c r="L43">
        <v>7</v>
      </c>
      <c r="M43">
        <v>27</v>
      </c>
      <c r="N43">
        <v>3</v>
      </c>
      <c r="O43">
        <v>19</v>
      </c>
      <c r="P43">
        <v>18.600000000000001</v>
      </c>
      <c r="Q43">
        <v>64.38</v>
      </c>
      <c r="R43" s="3">
        <f t="shared" si="5"/>
        <v>171</v>
      </c>
      <c r="S43" s="4">
        <f t="shared" si="6"/>
        <v>130.66666666666666</v>
      </c>
      <c r="T43" s="4">
        <f t="shared" si="7"/>
        <v>126.75</v>
      </c>
      <c r="U43" s="4">
        <f>0.3*Table3[[#This Row],[Actual_Demand]]+0.7*U42</f>
        <v>145.8852905313282</v>
      </c>
      <c r="V43" s="4">
        <f t="shared" si="3"/>
        <v>138.59812781278129</v>
      </c>
      <c r="W43" s="4">
        <f t="shared" si="4"/>
        <v>150.28345892318751</v>
      </c>
    </row>
    <row r="44" spans="1:23" x14ac:dyDescent="0.2">
      <c r="A44">
        <v>43</v>
      </c>
      <c r="B44">
        <v>159</v>
      </c>
      <c r="C44">
        <v>101</v>
      </c>
      <c r="D44">
        <v>121</v>
      </c>
      <c r="E44">
        <v>537</v>
      </c>
      <c r="F44">
        <v>2.5099999999999998</v>
      </c>
      <c r="G44">
        <v>31</v>
      </c>
      <c r="H44">
        <v>1.07</v>
      </c>
      <c r="I44">
        <v>95.47</v>
      </c>
      <c r="J44">
        <v>94.22</v>
      </c>
      <c r="K44">
        <v>3</v>
      </c>
      <c r="L44">
        <v>4</v>
      </c>
      <c r="M44">
        <v>20</v>
      </c>
      <c r="N44">
        <v>6</v>
      </c>
      <c r="O44">
        <v>14</v>
      </c>
      <c r="P44">
        <v>17.37</v>
      </c>
      <c r="Q44">
        <v>83.99</v>
      </c>
      <c r="R44" s="3">
        <f t="shared" si="5"/>
        <v>139</v>
      </c>
      <c r="S44" s="4">
        <f t="shared" si="6"/>
        <v>131.33333333333334</v>
      </c>
      <c r="T44" s="4">
        <f t="shared" si="7"/>
        <v>120.75</v>
      </c>
      <c r="U44" s="4">
        <f>0.3*Table3[[#This Row],[Actual_Demand]]+0.7*U43</f>
        <v>149.81970337192973</v>
      </c>
      <c r="V44" s="4">
        <f t="shared" si="3"/>
        <v>138.44423042304231</v>
      </c>
      <c r="W44" s="4">
        <f t="shared" si="4"/>
        <v>150.05780249025895</v>
      </c>
    </row>
    <row r="45" spans="1:23" x14ac:dyDescent="0.2">
      <c r="A45">
        <v>44</v>
      </c>
      <c r="B45">
        <v>94</v>
      </c>
      <c r="C45">
        <v>123</v>
      </c>
      <c r="D45">
        <v>81</v>
      </c>
      <c r="E45">
        <v>362</v>
      </c>
      <c r="F45">
        <v>2.31</v>
      </c>
      <c r="G45">
        <v>74</v>
      </c>
      <c r="H45">
        <v>3.36</v>
      </c>
      <c r="I45">
        <v>87.7</v>
      </c>
      <c r="J45">
        <v>83.99</v>
      </c>
      <c r="K45">
        <v>11</v>
      </c>
      <c r="L45">
        <v>6</v>
      </c>
      <c r="M45">
        <v>22</v>
      </c>
      <c r="N45">
        <v>2</v>
      </c>
      <c r="O45">
        <v>18</v>
      </c>
      <c r="P45">
        <v>20.05</v>
      </c>
      <c r="Q45">
        <v>75.06</v>
      </c>
      <c r="R45" s="3">
        <f t="shared" si="5"/>
        <v>159</v>
      </c>
      <c r="S45" s="4">
        <f t="shared" si="6"/>
        <v>125.33333333333333</v>
      </c>
      <c r="T45" s="4">
        <f t="shared" si="7"/>
        <v>123.5</v>
      </c>
      <c r="U45" s="4">
        <f>0.3*Table3[[#This Row],[Actual_Demand]]+0.7*U44</f>
        <v>133.07379236035081</v>
      </c>
      <c r="V45" s="4">
        <f t="shared" si="3"/>
        <v>138.29033303330334</v>
      </c>
      <c r="W45" s="4">
        <f t="shared" si="4"/>
        <v>149.83214605733028</v>
      </c>
    </row>
    <row r="46" spans="1:23" x14ac:dyDescent="0.2">
      <c r="A46">
        <v>45</v>
      </c>
      <c r="B46">
        <v>141</v>
      </c>
      <c r="C46">
        <v>122</v>
      </c>
      <c r="D46">
        <v>108</v>
      </c>
      <c r="E46">
        <v>360</v>
      </c>
      <c r="F46">
        <v>5.19</v>
      </c>
      <c r="G46">
        <v>32</v>
      </c>
      <c r="H46">
        <v>1.7</v>
      </c>
      <c r="I46">
        <v>95.45</v>
      </c>
      <c r="J46">
        <v>94.72</v>
      </c>
      <c r="K46">
        <v>44</v>
      </c>
      <c r="L46">
        <v>5</v>
      </c>
      <c r="M46">
        <v>11</v>
      </c>
      <c r="N46">
        <v>7</v>
      </c>
      <c r="O46">
        <v>14</v>
      </c>
      <c r="P46">
        <v>8.17</v>
      </c>
      <c r="Q46">
        <v>67.02</v>
      </c>
      <c r="R46" s="3">
        <f t="shared" si="5"/>
        <v>94</v>
      </c>
      <c r="S46" s="4">
        <f t="shared" si="6"/>
        <v>136</v>
      </c>
      <c r="T46" s="4">
        <f t="shared" si="7"/>
        <v>130.5</v>
      </c>
      <c r="U46" s="4">
        <f>0.3*Table3[[#This Row],[Actual_Demand]]+0.7*U45</f>
        <v>135.45165465224557</v>
      </c>
      <c r="V46" s="4">
        <f t="shared" si="3"/>
        <v>138.13643564356437</v>
      </c>
      <c r="W46" s="4">
        <f t="shared" si="4"/>
        <v>149.60648962440175</v>
      </c>
    </row>
    <row r="47" spans="1:23" x14ac:dyDescent="0.2">
      <c r="A47">
        <v>46</v>
      </c>
      <c r="B47">
        <v>141</v>
      </c>
      <c r="C47">
        <v>137</v>
      </c>
      <c r="D47">
        <v>71</v>
      </c>
      <c r="E47">
        <v>779</v>
      </c>
      <c r="F47">
        <v>5.24</v>
      </c>
      <c r="G47">
        <v>42</v>
      </c>
      <c r="H47">
        <v>6.47</v>
      </c>
      <c r="I47">
        <v>91.17</v>
      </c>
      <c r="J47">
        <v>90.6</v>
      </c>
      <c r="K47">
        <v>1</v>
      </c>
      <c r="L47">
        <v>8</v>
      </c>
      <c r="M47">
        <v>14</v>
      </c>
      <c r="N47">
        <v>8</v>
      </c>
      <c r="O47">
        <v>17</v>
      </c>
      <c r="P47">
        <v>22.62</v>
      </c>
      <c r="Q47">
        <v>77.209999999999994</v>
      </c>
      <c r="R47" s="3">
        <f t="shared" si="5"/>
        <v>141</v>
      </c>
      <c r="S47" s="4">
        <f t="shared" si="6"/>
        <v>136</v>
      </c>
      <c r="T47" s="4">
        <f t="shared" si="7"/>
        <v>144.25</v>
      </c>
      <c r="U47" s="4">
        <f>0.3*Table3[[#This Row],[Actual_Demand]]+0.7*U46</f>
        <v>137.11615825657191</v>
      </c>
      <c r="V47" s="4">
        <f t="shared" si="3"/>
        <v>137.9825382538254</v>
      </c>
      <c r="W47" s="4">
        <f t="shared" si="4"/>
        <v>149.38083319147307</v>
      </c>
    </row>
    <row r="48" spans="1:23" x14ac:dyDescent="0.2">
      <c r="A48">
        <v>47</v>
      </c>
      <c r="B48">
        <v>126</v>
      </c>
      <c r="C48">
        <v>112</v>
      </c>
      <c r="D48">
        <v>72</v>
      </c>
      <c r="E48">
        <v>597</v>
      </c>
      <c r="F48">
        <v>5.82</v>
      </c>
      <c r="G48">
        <v>49</v>
      </c>
      <c r="H48">
        <v>3.88</v>
      </c>
      <c r="I48">
        <v>98.11</v>
      </c>
      <c r="J48">
        <v>94.14</v>
      </c>
      <c r="K48">
        <v>26</v>
      </c>
      <c r="L48">
        <v>1</v>
      </c>
      <c r="M48">
        <v>11</v>
      </c>
      <c r="N48">
        <v>6</v>
      </c>
      <c r="O48">
        <v>12</v>
      </c>
      <c r="P48">
        <v>22.44</v>
      </c>
      <c r="Q48">
        <v>62.25</v>
      </c>
      <c r="R48" s="3">
        <f t="shared" si="5"/>
        <v>141</v>
      </c>
      <c r="S48" s="4">
        <f t="shared" si="6"/>
        <v>132.33333333333334</v>
      </c>
      <c r="T48" s="4">
        <f t="shared" si="7"/>
        <v>141.5</v>
      </c>
      <c r="U48" s="4">
        <f>0.3*Table3[[#This Row],[Actual_Demand]]+0.7*U47</f>
        <v>133.78131077960035</v>
      </c>
      <c r="V48" s="4">
        <f t="shared" si="3"/>
        <v>137.8286408640864</v>
      </c>
      <c r="W48" s="4">
        <f t="shared" si="4"/>
        <v>149.15517675854451</v>
      </c>
    </row>
    <row r="49" spans="1:23" x14ac:dyDescent="0.2">
      <c r="A49">
        <v>48</v>
      </c>
      <c r="B49">
        <v>141</v>
      </c>
      <c r="C49">
        <v>151</v>
      </c>
      <c r="D49">
        <v>182</v>
      </c>
      <c r="E49">
        <v>476</v>
      </c>
      <c r="F49">
        <v>6.36</v>
      </c>
      <c r="G49">
        <v>36</v>
      </c>
      <c r="H49">
        <v>2.29</v>
      </c>
      <c r="I49">
        <v>92.73</v>
      </c>
      <c r="J49">
        <v>95.36</v>
      </c>
      <c r="K49">
        <v>30</v>
      </c>
      <c r="L49">
        <v>1</v>
      </c>
      <c r="M49">
        <v>5</v>
      </c>
      <c r="N49">
        <v>6</v>
      </c>
      <c r="O49">
        <v>9</v>
      </c>
      <c r="P49">
        <v>5.58</v>
      </c>
      <c r="Q49">
        <v>80.37</v>
      </c>
      <c r="R49" s="3">
        <f t="shared" si="5"/>
        <v>126</v>
      </c>
      <c r="S49" s="4">
        <f t="shared" si="6"/>
        <v>152.66666666666666</v>
      </c>
      <c r="T49" s="4">
        <f t="shared" si="7"/>
        <v>160.5</v>
      </c>
      <c r="U49" s="4">
        <f>0.3*Table3[[#This Row],[Actual_Demand]]+0.7*U48</f>
        <v>135.94691754572023</v>
      </c>
      <c r="V49" s="4">
        <f t="shared" si="3"/>
        <v>137.67474347434742</v>
      </c>
      <c r="W49" s="4">
        <f t="shared" si="4"/>
        <v>148.92952032561584</v>
      </c>
    </row>
    <row r="50" spans="1:23" x14ac:dyDescent="0.2">
      <c r="A50">
        <v>49</v>
      </c>
      <c r="B50">
        <v>130</v>
      </c>
      <c r="C50">
        <v>177</v>
      </c>
      <c r="D50">
        <v>170</v>
      </c>
      <c r="E50">
        <v>703</v>
      </c>
      <c r="F50">
        <v>7.86</v>
      </c>
      <c r="G50">
        <v>81</v>
      </c>
      <c r="H50">
        <v>2.66</v>
      </c>
      <c r="I50">
        <v>99.6</v>
      </c>
      <c r="J50">
        <v>81.75</v>
      </c>
      <c r="K50">
        <v>35</v>
      </c>
      <c r="L50">
        <v>13</v>
      </c>
      <c r="M50">
        <v>27</v>
      </c>
      <c r="N50">
        <v>5</v>
      </c>
      <c r="O50">
        <v>7</v>
      </c>
      <c r="P50">
        <v>21.52</v>
      </c>
      <c r="Q50">
        <v>69.41</v>
      </c>
      <c r="R50" s="3">
        <f t="shared" si="5"/>
        <v>141</v>
      </c>
      <c r="S50" s="4">
        <f t="shared" si="6"/>
        <v>150.33333333333334</v>
      </c>
      <c r="T50" s="4">
        <f t="shared" si="7"/>
        <v>156</v>
      </c>
      <c r="U50" s="4">
        <f>0.3*Table3[[#This Row],[Actual_Demand]]+0.7*U49</f>
        <v>134.16284228200414</v>
      </c>
      <c r="V50" s="4">
        <f t="shared" si="3"/>
        <v>137.52084608460845</v>
      </c>
      <c r="W50" s="4">
        <f t="shared" si="4"/>
        <v>148.70386389268731</v>
      </c>
    </row>
    <row r="51" spans="1:23" x14ac:dyDescent="0.2">
      <c r="A51">
        <v>50</v>
      </c>
      <c r="B51">
        <v>187</v>
      </c>
      <c r="C51">
        <v>126</v>
      </c>
      <c r="D51">
        <v>182</v>
      </c>
      <c r="E51">
        <v>591</v>
      </c>
      <c r="F51">
        <v>5.0999999999999996</v>
      </c>
      <c r="G51">
        <v>32</v>
      </c>
      <c r="H51">
        <v>3.6</v>
      </c>
      <c r="I51">
        <v>94.03</v>
      </c>
      <c r="J51">
        <v>90.12</v>
      </c>
      <c r="K51">
        <v>35</v>
      </c>
      <c r="L51">
        <v>11</v>
      </c>
      <c r="M51">
        <v>25</v>
      </c>
      <c r="N51">
        <v>8</v>
      </c>
      <c r="O51">
        <v>3</v>
      </c>
      <c r="P51">
        <v>7.58</v>
      </c>
      <c r="Q51">
        <v>87.91</v>
      </c>
      <c r="R51" s="3">
        <f t="shared" si="5"/>
        <v>130</v>
      </c>
      <c r="S51" s="4">
        <f t="shared" si="6"/>
        <v>172</v>
      </c>
      <c r="T51" s="4">
        <f t="shared" si="7"/>
        <v>155.5</v>
      </c>
      <c r="U51" s="4">
        <f>0.3*Table3[[#This Row],[Actual_Demand]]+0.7*U50</f>
        <v>150.01398959740288</v>
      </c>
      <c r="V51" s="4">
        <f t="shared" si="3"/>
        <v>137.36694869486948</v>
      </c>
      <c r="W51" s="4">
        <f t="shared" si="4"/>
        <v>148.47820745975864</v>
      </c>
    </row>
    <row r="52" spans="1:23" x14ac:dyDescent="0.2">
      <c r="A52">
        <v>51</v>
      </c>
      <c r="B52">
        <v>134</v>
      </c>
      <c r="C52">
        <v>188</v>
      </c>
      <c r="D52">
        <v>125</v>
      </c>
      <c r="E52">
        <v>334</v>
      </c>
      <c r="F52">
        <v>3.94</v>
      </c>
      <c r="G52">
        <v>78</v>
      </c>
      <c r="H52">
        <v>2.6</v>
      </c>
      <c r="I52">
        <v>88.36</v>
      </c>
      <c r="J52">
        <v>98.64</v>
      </c>
      <c r="K52">
        <v>25</v>
      </c>
      <c r="L52">
        <v>6</v>
      </c>
      <c r="M52">
        <v>23</v>
      </c>
      <c r="N52">
        <v>1</v>
      </c>
      <c r="O52">
        <v>19</v>
      </c>
      <c r="P52">
        <v>11.7</v>
      </c>
      <c r="Q52">
        <v>70.86</v>
      </c>
      <c r="R52" s="3">
        <f t="shared" si="5"/>
        <v>187</v>
      </c>
      <c r="S52" s="4">
        <f t="shared" si="6"/>
        <v>157.33333333333334</v>
      </c>
      <c r="T52" s="4">
        <f t="shared" si="7"/>
        <v>169</v>
      </c>
      <c r="U52" s="4">
        <f>0.3*Table3[[#This Row],[Actual_Demand]]+0.7*U51</f>
        <v>145.209792718182</v>
      </c>
      <c r="V52" s="4">
        <f t="shared" si="3"/>
        <v>137.21305130513051</v>
      </c>
      <c r="W52" s="4">
        <f t="shared" si="4"/>
        <v>148.25255102683008</v>
      </c>
    </row>
    <row r="53" spans="1:23" x14ac:dyDescent="0.2">
      <c r="A53">
        <v>52</v>
      </c>
      <c r="B53">
        <v>195</v>
      </c>
      <c r="C53">
        <v>133</v>
      </c>
      <c r="D53">
        <v>150</v>
      </c>
      <c r="E53">
        <v>394</v>
      </c>
      <c r="F53">
        <v>6.77</v>
      </c>
      <c r="G53">
        <v>38</v>
      </c>
      <c r="H53">
        <v>4.53</v>
      </c>
      <c r="I53">
        <v>97.33</v>
      </c>
      <c r="J53">
        <v>86.41</v>
      </c>
      <c r="K53">
        <v>42</v>
      </c>
      <c r="L53">
        <v>10</v>
      </c>
      <c r="M53">
        <v>20</v>
      </c>
      <c r="N53">
        <v>4</v>
      </c>
      <c r="O53">
        <v>5</v>
      </c>
      <c r="P53">
        <v>19.87</v>
      </c>
      <c r="Q53">
        <v>75.930000000000007</v>
      </c>
      <c r="R53" s="3">
        <f t="shared" si="5"/>
        <v>134</v>
      </c>
      <c r="S53" s="4">
        <f t="shared" si="6"/>
        <v>140</v>
      </c>
      <c r="T53" s="4">
        <f t="shared" si="7"/>
        <v>153</v>
      </c>
      <c r="U53" s="4">
        <f>0.3*Table3[[#This Row],[Actual_Demand]]+0.7*U52</f>
        <v>160.1468549027274</v>
      </c>
      <c r="V53" s="4">
        <f t="shared" si="3"/>
        <v>137.05915391539153</v>
      </c>
      <c r="W53" s="4">
        <f t="shared" si="4"/>
        <v>148.0268945939014</v>
      </c>
    </row>
    <row r="54" spans="1:23" x14ac:dyDescent="0.2">
      <c r="A54">
        <v>53</v>
      </c>
      <c r="B54">
        <v>143</v>
      </c>
      <c r="C54">
        <v>175</v>
      </c>
      <c r="D54">
        <v>128</v>
      </c>
      <c r="E54">
        <v>600</v>
      </c>
      <c r="F54">
        <v>3.62</v>
      </c>
      <c r="G54">
        <v>68</v>
      </c>
      <c r="H54">
        <v>0.32</v>
      </c>
      <c r="I54">
        <v>90.18</v>
      </c>
      <c r="J54">
        <v>91.88</v>
      </c>
      <c r="K54">
        <v>26</v>
      </c>
      <c r="L54">
        <v>12</v>
      </c>
      <c r="M54">
        <v>23</v>
      </c>
      <c r="N54">
        <v>4</v>
      </c>
      <c r="O54">
        <v>15</v>
      </c>
      <c r="P54">
        <v>8.2200000000000006</v>
      </c>
      <c r="Q54">
        <v>60.41</v>
      </c>
      <c r="R54" s="3">
        <f t="shared" si="5"/>
        <v>195</v>
      </c>
      <c r="S54" s="4">
        <f t="shared" si="6"/>
        <v>135</v>
      </c>
      <c r="T54" s="4">
        <f t="shared" si="7"/>
        <v>158.25</v>
      </c>
      <c r="U54" s="4">
        <f>0.3*Table3[[#This Row],[Actual_Demand]]+0.7*U53</f>
        <v>155.00279843190916</v>
      </c>
      <c r="V54" s="4">
        <f t="shared" si="3"/>
        <v>136.90525652565256</v>
      </c>
      <c r="W54" s="4">
        <f t="shared" si="4"/>
        <v>147.80123816097284</v>
      </c>
    </row>
    <row r="55" spans="1:23" x14ac:dyDescent="0.2">
      <c r="A55">
        <v>54</v>
      </c>
      <c r="B55">
        <v>82</v>
      </c>
      <c r="C55">
        <v>180</v>
      </c>
      <c r="D55">
        <v>182</v>
      </c>
      <c r="E55">
        <v>232</v>
      </c>
      <c r="F55">
        <v>4.63</v>
      </c>
      <c r="G55">
        <v>31</v>
      </c>
      <c r="H55">
        <v>2.8</v>
      </c>
      <c r="I55">
        <v>90.21</v>
      </c>
      <c r="J55">
        <v>87.38</v>
      </c>
      <c r="K55">
        <v>4</v>
      </c>
      <c r="L55">
        <v>2</v>
      </c>
      <c r="M55">
        <v>8</v>
      </c>
      <c r="N55">
        <v>3</v>
      </c>
      <c r="O55">
        <v>16</v>
      </c>
      <c r="P55">
        <v>21.36</v>
      </c>
      <c r="Q55">
        <v>62.54</v>
      </c>
      <c r="R55" s="3">
        <f t="shared" si="5"/>
        <v>143</v>
      </c>
      <c r="S55" s="4">
        <f t="shared" si="6"/>
        <v>130.66666666666666</v>
      </c>
      <c r="T55" s="4">
        <f t="shared" si="7"/>
        <v>161.5</v>
      </c>
      <c r="U55" s="4">
        <f>0.3*Table3[[#This Row],[Actual_Demand]]+0.7*U54</f>
        <v>133.10195890233641</v>
      </c>
      <c r="V55" s="4">
        <f t="shared" si="3"/>
        <v>136.75135913591359</v>
      </c>
      <c r="W55" s="4">
        <f t="shared" si="4"/>
        <v>147.5755817280442</v>
      </c>
    </row>
    <row r="56" spans="1:23" x14ac:dyDescent="0.2">
      <c r="A56">
        <v>55</v>
      </c>
      <c r="B56">
        <v>180</v>
      </c>
      <c r="C56">
        <v>124</v>
      </c>
      <c r="D56">
        <v>71</v>
      </c>
      <c r="E56">
        <v>659</v>
      </c>
      <c r="F56">
        <v>2.4700000000000002</v>
      </c>
      <c r="G56">
        <v>80</v>
      </c>
      <c r="H56">
        <v>4.1100000000000003</v>
      </c>
      <c r="I56">
        <v>85.48</v>
      </c>
      <c r="J56">
        <v>89.09</v>
      </c>
      <c r="K56">
        <v>19</v>
      </c>
      <c r="L56">
        <v>5</v>
      </c>
      <c r="M56">
        <v>22</v>
      </c>
      <c r="N56">
        <v>3</v>
      </c>
      <c r="O56">
        <v>6</v>
      </c>
      <c r="P56">
        <v>21.64</v>
      </c>
      <c r="Q56">
        <v>73.739999999999995</v>
      </c>
      <c r="R56" s="3">
        <f t="shared" si="5"/>
        <v>82</v>
      </c>
      <c r="S56" s="4">
        <f t="shared" si="6"/>
        <v>132</v>
      </c>
      <c r="T56" s="4">
        <f t="shared" si="7"/>
        <v>150.5</v>
      </c>
      <c r="U56" s="4">
        <f>0.3*Table3[[#This Row],[Actual_Demand]]+0.7*U55</f>
        <v>147.17137123163548</v>
      </c>
      <c r="V56" s="4">
        <f t="shared" si="3"/>
        <v>136.59746174617462</v>
      </c>
      <c r="W56" s="4">
        <f t="shared" si="4"/>
        <v>147.34992529511564</v>
      </c>
    </row>
    <row r="57" spans="1:23" x14ac:dyDescent="0.2">
      <c r="A57">
        <v>56</v>
      </c>
      <c r="B57">
        <v>130</v>
      </c>
      <c r="C57">
        <v>154</v>
      </c>
      <c r="D57">
        <v>71</v>
      </c>
      <c r="E57">
        <v>669</v>
      </c>
      <c r="F57">
        <v>2.15</v>
      </c>
      <c r="G57">
        <v>38</v>
      </c>
      <c r="H57">
        <v>6.03</v>
      </c>
      <c r="I57">
        <v>93.23</v>
      </c>
      <c r="J57">
        <v>90.97</v>
      </c>
      <c r="K57">
        <v>10</v>
      </c>
      <c r="L57">
        <v>1</v>
      </c>
      <c r="M57">
        <v>6</v>
      </c>
      <c r="N57">
        <v>4</v>
      </c>
      <c r="O57">
        <v>7</v>
      </c>
      <c r="P57">
        <v>15.15</v>
      </c>
      <c r="Q57">
        <v>76.8</v>
      </c>
      <c r="R57" s="3">
        <f t="shared" si="5"/>
        <v>180</v>
      </c>
      <c r="S57" s="4">
        <f t="shared" si="6"/>
        <v>105.33333333333333</v>
      </c>
      <c r="T57" s="4">
        <f t="shared" si="7"/>
        <v>161.25</v>
      </c>
      <c r="U57" s="4">
        <f>0.3*Table3[[#This Row],[Actual_Demand]]+0.7*U56</f>
        <v>142.01995986214484</v>
      </c>
      <c r="V57" s="4">
        <f t="shared" si="3"/>
        <v>136.44356435643564</v>
      </c>
      <c r="W57" s="4">
        <f t="shared" si="4"/>
        <v>147.12426886218697</v>
      </c>
    </row>
    <row r="58" spans="1:23" x14ac:dyDescent="0.2">
      <c r="A58">
        <v>57</v>
      </c>
      <c r="B58">
        <v>86</v>
      </c>
      <c r="C58">
        <v>188</v>
      </c>
      <c r="D58">
        <v>161</v>
      </c>
      <c r="E58">
        <v>574</v>
      </c>
      <c r="F58">
        <v>7.78</v>
      </c>
      <c r="G58">
        <v>28</v>
      </c>
      <c r="H58">
        <v>2.71</v>
      </c>
      <c r="I58">
        <v>93.02</v>
      </c>
      <c r="J58">
        <v>90.98</v>
      </c>
      <c r="K58">
        <v>9</v>
      </c>
      <c r="L58">
        <v>7</v>
      </c>
      <c r="M58">
        <v>5</v>
      </c>
      <c r="N58">
        <v>1</v>
      </c>
      <c r="O58">
        <v>18</v>
      </c>
      <c r="P58">
        <v>5.13</v>
      </c>
      <c r="Q58">
        <v>81</v>
      </c>
      <c r="R58" s="3">
        <f t="shared" si="5"/>
        <v>130</v>
      </c>
      <c r="S58" s="4">
        <f t="shared" si="6"/>
        <v>112.66666666666667</v>
      </c>
      <c r="T58" s="4">
        <f t="shared" si="7"/>
        <v>145.75</v>
      </c>
      <c r="U58" s="4">
        <f>0.3*Table3[[#This Row],[Actual_Demand]]+0.7*U57</f>
        <v>125.21397190350139</v>
      </c>
      <c r="V58" s="4">
        <f t="shared" si="3"/>
        <v>136.28966696669667</v>
      </c>
      <c r="W58" s="4">
        <f t="shared" si="4"/>
        <v>146.89861242925841</v>
      </c>
    </row>
    <row r="59" spans="1:23" x14ac:dyDescent="0.2">
      <c r="A59">
        <v>58</v>
      </c>
      <c r="B59">
        <v>100</v>
      </c>
      <c r="C59">
        <v>136</v>
      </c>
      <c r="D59">
        <v>123</v>
      </c>
      <c r="E59">
        <v>221</v>
      </c>
      <c r="F59">
        <v>7.02</v>
      </c>
      <c r="G59">
        <v>47</v>
      </c>
      <c r="H59">
        <v>1.33</v>
      </c>
      <c r="I59">
        <v>90.34</v>
      </c>
      <c r="J59">
        <v>84.03</v>
      </c>
      <c r="K59">
        <v>39</v>
      </c>
      <c r="L59">
        <v>1</v>
      </c>
      <c r="M59">
        <v>19</v>
      </c>
      <c r="N59">
        <v>2</v>
      </c>
      <c r="O59">
        <v>3</v>
      </c>
      <c r="P59">
        <v>10.74</v>
      </c>
      <c r="Q59">
        <v>70.209999999999994</v>
      </c>
      <c r="R59" s="3">
        <f t="shared" si="5"/>
        <v>86</v>
      </c>
      <c r="S59" s="4">
        <f t="shared" si="6"/>
        <v>123.33333333333333</v>
      </c>
      <c r="T59" s="4">
        <f t="shared" si="7"/>
        <v>121.25</v>
      </c>
      <c r="U59" s="4">
        <f>0.3*Table3[[#This Row],[Actual_Demand]]+0.7*U58</f>
        <v>117.64978033245097</v>
      </c>
      <c r="V59" s="4">
        <f t="shared" si="3"/>
        <v>136.1357695769577</v>
      </c>
      <c r="W59" s="4">
        <f t="shared" si="4"/>
        <v>146.67295599632976</v>
      </c>
    </row>
    <row r="60" spans="1:23" x14ac:dyDescent="0.2">
      <c r="A60">
        <v>59</v>
      </c>
      <c r="B60">
        <v>152</v>
      </c>
      <c r="C60">
        <v>167</v>
      </c>
      <c r="D60">
        <v>156</v>
      </c>
      <c r="E60">
        <v>237</v>
      </c>
      <c r="F60">
        <v>6.18</v>
      </c>
      <c r="G60">
        <v>71</v>
      </c>
      <c r="H60">
        <v>0.76</v>
      </c>
      <c r="I60">
        <v>98.41</v>
      </c>
      <c r="J60">
        <v>93.69</v>
      </c>
      <c r="K60">
        <v>37</v>
      </c>
      <c r="L60">
        <v>4</v>
      </c>
      <c r="M60">
        <v>9</v>
      </c>
      <c r="N60">
        <v>9</v>
      </c>
      <c r="O60">
        <v>16</v>
      </c>
      <c r="P60">
        <v>17.34</v>
      </c>
      <c r="Q60">
        <v>84.32</v>
      </c>
      <c r="R60" s="3">
        <f t="shared" si="5"/>
        <v>100</v>
      </c>
      <c r="S60" s="4">
        <f t="shared" si="6"/>
        <v>122.33333333333333</v>
      </c>
      <c r="T60" s="4">
        <f t="shared" si="7"/>
        <v>110.75</v>
      </c>
      <c r="U60" s="4">
        <f>0.3*Table3[[#This Row],[Actual_Demand]]+0.7*U59</f>
        <v>127.95484623271568</v>
      </c>
      <c r="V60" s="4">
        <f t="shared" si="3"/>
        <v>135.98187218721873</v>
      </c>
      <c r="W60" s="4">
        <f t="shared" si="4"/>
        <v>146.4472995634012</v>
      </c>
    </row>
    <row r="61" spans="1:23" x14ac:dyDescent="0.2">
      <c r="A61">
        <v>60</v>
      </c>
      <c r="B61">
        <v>118</v>
      </c>
      <c r="C61">
        <v>92</v>
      </c>
      <c r="D61">
        <v>170</v>
      </c>
      <c r="E61">
        <v>429</v>
      </c>
      <c r="F61">
        <v>4.45</v>
      </c>
      <c r="G61">
        <v>35</v>
      </c>
      <c r="H61">
        <v>9.41</v>
      </c>
      <c r="I61">
        <v>86.93</v>
      </c>
      <c r="J61">
        <v>81.760000000000005</v>
      </c>
      <c r="K61">
        <v>5</v>
      </c>
      <c r="L61">
        <v>9</v>
      </c>
      <c r="M61">
        <v>24</v>
      </c>
      <c r="N61">
        <v>2</v>
      </c>
      <c r="O61">
        <v>17</v>
      </c>
      <c r="P61">
        <v>24.62</v>
      </c>
      <c r="Q61">
        <v>90.1</v>
      </c>
      <c r="R61" s="3">
        <f t="shared" si="5"/>
        <v>152</v>
      </c>
      <c r="S61" s="4">
        <f t="shared" si="6"/>
        <v>99.333333333333329</v>
      </c>
      <c r="T61" s="4">
        <f t="shared" si="7"/>
        <v>113.75</v>
      </c>
      <c r="U61" s="4">
        <f>0.3*Table3[[#This Row],[Actual_Demand]]+0.7*U60</f>
        <v>124.96839236290097</v>
      </c>
      <c r="V61" s="4">
        <f t="shared" si="3"/>
        <v>135.82797479747975</v>
      </c>
      <c r="W61" s="4">
        <f t="shared" si="4"/>
        <v>146.22164313047253</v>
      </c>
    </row>
    <row r="62" spans="1:23" x14ac:dyDescent="0.2">
      <c r="A62">
        <v>61</v>
      </c>
      <c r="B62">
        <v>97</v>
      </c>
      <c r="C62">
        <v>90</v>
      </c>
      <c r="D62">
        <v>165</v>
      </c>
      <c r="E62">
        <v>564</v>
      </c>
      <c r="F62">
        <v>3.04</v>
      </c>
      <c r="G62">
        <v>88</v>
      </c>
      <c r="H62">
        <v>4.17</v>
      </c>
      <c r="I62">
        <v>89.95</v>
      </c>
      <c r="J62">
        <v>82.78</v>
      </c>
      <c r="K62">
        <v>7</v>
      </c>
      <c r="L62">
        <v>1</v>
      </c>
      <c r="M62">
        <v>15</v>
      </c>
      <c r="N62">
        <v>5</v>
      </c>
      <c r="O62">
        <v>11</v>
      </c>
      <c r="P62">
        <v>17.64</v>
      </c>
      <c r="Q62">
        <v>87.29</v>
      </c>
      <c r="R62" s="3">
        <f t="shared" si="5"/>
        <v>118</v>
      </c>
      <c r="S62" s="4">
        <f t="shared" si="6"/>
        <v>116</v>
      </c>
      <c r="T62" s="4">
        <f t="shared" si="7"/>
        <v>116.5</v>
      </c>
      <c r="U62" s="4">
        <f>0.3*Table3[[#This Row],[Actual_Demand]]+0.7*U61</f>
        <v>116.57787465403067</v>
      </c>
      <c r="V62" s="4">
        <f t="shared" si="3"/>
        <v>135.67407740774078</v>
      </c>
      <c r="W62" s="4">
        <f t="shared" si="4"/>
        <v>145.99598669754397</v>
      </c>
    </row>
    <row r="63" spans="1:23" x14ac:dyDescent="0.2">
      <c r="A63">
        <v>62</v>
      </c>
      <c r="B63">
        <v>83</v>
      </c>
      <c r="C63">
        <v>94</v>
      </c>
      <c r="D63">
        <v>166</v>
      </c>
      <c r="E63">
        <v>762</v>
      </c>
      <c r="F63">
        <v>2.94</v>
      </c>
      <c r="G63">
        <v>31</v>
      </c>
      <c r="H63">
        <v>5.81</v>
      </c>
      <c r="I63">
        <v>89.82</v>
      </c>
      <c r="J63">
        <v>80.05</v>
      </c>
      <c r="K63">
        <v>22</v>
      </c>
      <c r="L63">
        <v>4</v>
      </c>
      <c r="M63">
        <v>14</v>
      </c>
      <c r="N63">
        <v>9</v>
      </c>
      <c r="O63">
        <v>17</v>
      </c>
      <c r="P63">
        <v>10.199999999999999</v>
      </c>
      <c r="Q63">
        <v>61.39</v>
      </c>
      <c r="R63" s="3">
        <f t="shared" si="5"/>
        <v>97</v>
      </c>
      <c r="S63" s="4">
        <f t="shared" si="6"/>
        <v>130</v>
      </c>
      <c r="T63" s="4">
        <f t="shared" si="7"/>
        <v>123</v>
      </c>
      <c r="U63" s="4">
        <f>0.3*Table3[[#This Row],[Actual_Demand]]+0.7*U62</f>
        <v>106.50451225782146</v>
      </c>
      <c r="V63" s="4">
        <f t="shared" si="3"/>
        <v>135.52018001800181</v>
      </c>
      <c r="W63" s="4">
        <f t="shared" si="4"/>
        <v>145.7703302646153</v>
      </c>
    </row>
    <row r="64" spans="1:23" x14ac:dyDescent="0.2">
      <c r="A64">
        <v>63</v>
      </c>
      <c r="B64">
        <v>168</v>
      </c>
      <c r="C64">
        <v>179</v>
      </c>
      <c r="D64">
        <v>70</v>
      </c>
      <c r="E64">
        <v>637</v>
      </c>
      <c r="F64">
        <v>3.5</v>
      </c>
      <c r="G64">
        <v>44</v>
      </c>
      <c r="H64">
        <v>9.19</v>
      </c>
      <c r="I64">
        <v>86.38</v>
      </c>
      <c r="J64">
        <v>82.33</v>
      </c>
      <c r="K64">
        <v>46</v>
      </c>
      <c r="L64">
        <v>6</v>
      </c>
      <c r="M64">
        <v>6</v>
      </c>
      <c r="N64">
        <v>9</v>
      </c>
      <c r="O64">
        <v>19</v>
      </c>
      <c r="P64">
        <v>17.68</v>
      </c>
      <c r="Q64">
        <v>76.819999999999993</v>
      </c>
      <c r="R64" s="3">
        <f t="shared" si="5"/>
        <v>83</v>
      </c>
      <c r="S64" s="4">
        <f t="shared" si="6"/>
        <v>133.33333333333334</v>
      </c>
      <c r="T64" s="4">
        <f t="shared" si="7"/>
        <v>124</v>
      </c>
      <c r="U64" s="4">
        <f>0.3*Table3[[#This Row],[Actual_Demand]]+0.7*U63</f>
        <v>124.95315858047502</v>
      </c>
      <c r="V64" s="4">
        <f t="shared" si="3"/>
        <v>135.36628262826284</v>
      </c>
      <c r="W64" s="4">
        <f t="shared" si="4"/>
        <v>145.54467383168677</v>
      </c>
    </row>
    <row r="65" spans="1:23" x14ac:dyDescent="0.2">
      <c r="A65">
        <v>64</v>
      </c>
      <c r="B65">
        <v>139</v>
      </c>
      <c r="C65">
        <v>103</v>
      </c>
      <c r="D65">
        <v>88</v>
      </c>
      <c r="E65">
        <v>482</v>
      </c>
      <c r="F65">
        <v>5.3</v>
      </c>
      <c r="G65">
        <v>71</v>
      </c>
      <c r="H65">
        <v>0.83</v>
      </c>
      <c r="I65">
        <v>92.22</v>
      </c>
      <c r="J65">
        <v>89.46</v>
      </c>
      <c r="K65">
        <v>25</v>
      </c>
      <c r="L65">
        <v>6</v>
      </c>
      <c r="M65">
        <v>7</v>
      </c>
      <c r="N65">
        <v>8</v>
      </c>
      <c r="O65">
        <v>6</v>
      </c>
      <c r="P65">
        <v>15.8</v>
      </c>
      <c r="Q65">
        <v>63.67</v>
      </c>
      <c r="R65" s="3">
        <f t="shared" si="5"/>
        <v>168</v>
      </c>
      <c r="S65" s="4">
        <f t="shared" si="6"/>
        <v>141.66666666666666</v>
      </c>
      <c r="T65" s="4">
        <f t="shared" si="7"/>
        <v>121.25</v>
      </c>
      <c r="U65" s="4">
        <f>0.3*Table3[[#This Row],[Actual_Demand]]+0.7*U64</f>
        <v>129.16721100633251</v>
      </c>
      <c r="V65" s="4">
        <f t="shared" si="3"/>
        <v>135.21238523852386</v>
      </c>
      <c r="W65" s="4">
        <f t="shared" si="4"/>
        <v>145.31901739875809</v>
      </c>
    </row>
    <row r="66" spans="1:23" x14ac:dyDescent="0.2">
      <c r="A66">
        <v>65</v>
      </c>
      <c r="B66">
        <v>93</v>
      </c>
      <c r="C66">
        <v>116</v>
      </c>
      <c r="D66">
        <v>71</v>
      </c>
      <c r="E66">
        <v>226</v>
      </c>
      <c r="F66">
        <v>6.29</v>
      </c>
      <c r="G66">
        <v>72</v>
      </c>
      <c r="H66">
        <v>8.77</v>
      </c>
      <c r="I66">
        <v>95.32</v>
      </c>
      <c r="J66">
        <v>92.12</v>
      </c>
      <c r="K66">
        <v>45</v>
      </c>
      <c r="L66">
        <v>12</v>
      </c>
      <c r="M66">
        <v>27</v>
      </c>
      <c r="N66">
        <v>1</v>
      </c>
      <c r="O66">
        <v>14</v>
      </c>
      <c r="P66">
        <v>20.6</v>
      </c>
      <c r="Q66">
        <v>68.47</v>
      </c>
      <c r="R66" s="3">
        <f t="shared" ref="R66:R101" si="8">B65</f>
        <v>139</v>
      </c>
      <c r="S66" s="4">
        <f t="shared" ref="S66:S97" si="9">AVERAGE(B66:B68)</f>
        <v>124.66666666666667</v>
      </c>
      <c r="T66" s="4">
        <f t="shared" ref="T66:T97" si="10">AVERAGE(C66:C69)</f>
        <v>121.5</v>
      </c>
      <c r="U66" s="4">
        <f>0.3*Table3[[#This Row],[Actual_Demand]]+0.7*U65</f>
        <v>118.31704770443275</v>
      </c>
      <c r="V66" s="4">
        <f t="shared" si="3"/>
        <v>135.05848784878486</v>
      </c>
      <c r="W66" s="4">
        <f t="shared" si="4"/>
        <v>145.09336096582953</v>
      </c>
    </row>
    <row r="67" spans="1:23" x14ac:dyDescent="0.2">
      <c r="A67">
        <v>66</v>
      </c>
      <c r="B67">
        <v>193</v>
      </c>
      <c r="C67">
        <v>98</v>
      </c>
      <c r="D67">
        <v>122</v>
      </c>
      <c r="E67">
        <v>425</v>
      </c>
      <c r="F67">
        <v>5.96</v>
      </c>
      <c r="G67">
        <v>42</v>
      </c>
      <c r="H67">
        <v>5.52</v>
      </c>
      <c r="I67">
        <v>92.67</v>
      </c>
      <c r="J67">
        <v>95.89</v>
      </c>
      <c r="K67">
        <v>42</v>
      </c>
      <c r="L67">
        <v>13</v>
      </c>
      <c r="M67">
        <v>27</v>
      </c>
      <c r="N67">
        <v>1</v>
      </c>
      <c r="O67">
        <v>7</v>
      </c>
      <c r="P67">
        <v>7.14</v>
      </c>
      <c r="Q67">
        <v>94.53</v>
      </c>
      <c r="R67" s="3">
        <f t="shared" si="8"/>
        <v>93</v>
      </c>
      <c r="S67" s="4">
        <f t="shared" si="9"/>
        <v>150</v>
      </c>
      <c r="T67" s="4">
        <f t="shared" si="10"/>
        <v>137.25</v>
      </c>
      <c r="U67" s="4">
        <f>0.3*Table3[[#This Row],[Actual_Demand]]+0.7*U66</f>
        <v>140.72193339310292</v>
      </c>
      <c r="V67" s="4">
        <f t="shared" ref="V67:V101" si="11">_xlfn.FORECAST.LINEAR(A67, $B$2:$B$101, $A$2:$A$101)</f>
        <v>134.90459045904589</v>
      </c>
      <c r="W67" s="4">
        <f t="shared" ref="W67:W101" si="12">_xlfn.FORECAST.ETS(A67, $B$2:$B$101, $A$2:$A$101)</f>
        <v>144.86770453290086</v>
      </c>
    </row>
    <row r="68" spans="1:23" x14ac:dyDescent="0.2">
      <c r="A68">
        <v>67</v>
      </c>
      <c r="B68">
        <v>88</v>
      </c>
      <c r="C68">
        <v>168</v>
      </c>
      <c r="D68">
        <v>113</v>
      </c>
      <c r="E68">
        <v>476</v>
      </c>
      <c r="F68">
        <v>3.68</v>
      </c>
      <c r="G68">
        <v>35</v>
      </c>
      <c r="H68">
        <v>1.65</v>
      </c>
      <c r="I68">
        <v>87.35</v>
      </c>
      <c r="J68">
        <v>82.13</v>
      </c>
      <c r="K68">
        <v>11</v>
      </c>
      <c r="L68">
        <v>8</v>
      </c>
      <c r="M68">
        <v>16</v>
      </c>
      <c r="N68">
        <v>9</v>
      </c>
      <c r="O68">
        <v>7</v>
      </c>
      <c r="P68">
        <v>20.22</v>
      </c>
      <c r="Q68">
        <v>64.989999999999995</v>
      </c>
      <c r="R68" s="3">
        <f t="shared" si="8"/>
        <v>193</v>
      </c>
      <c r="S68" s="4">
        <f t="shared" si="9"/>
        <v>129.66666666666666</v>
      </c>
      <c r="T68" s="4">
        <f t="shared" si="10"/>
        <v>145.5</v>
      </c>
      <c r="U68" s="4">
        <f>0.3*Table3[[#This Row],[Actual_Demand]]+0.7*U67</f>
        <v>124.90535337517204</v>
      </c>
      <c r="V68" s="4">
        <f t="shared" si="11"/>
        <v>134.75069306930692</v>
      </c>
      <c r="W68" s="4">
        <f t="shared" si="12"/>
        <v>144.64204809997233</v>
      </c>
    </row>
    <row r="69" spans="1:23" x14ac:dyDescent="0.2">
      <c r="A69">
        <v>68</v>
      </c>
      <c r="B69">
        <v>169</v>
      </c>
      <c r="C69">
        <v>104</v>
      </c>
      <c r="D69">
        <v>159</v>
      </c>
      <c r="E69">
        <v>483</v>
      </c>
      <c r="F69">
        <v>7.73</v>
      </c>
      <c r="G69">
        <v>76</v>
      </c>
      <c r="H69">
        <v>4.1100000000000003</v>
      </c>
      <c r="I69">
        <v>90.66</v>
      </c>
      <c r="J69">
        <v>97.01</v>
      </c>
      <c r="K69">
        <v>25</v>
      </c>
      <c r="L69">
        <v>1</v>
      </c>
      <c r="M69">
        <v>24</v>
      </c>
      <c r="N69">
        <v>8</v>
      </c>
      <c r="O69">
        <v>13</v>
      </c>
      <c r="P69">
        <v>15.83</v>
      </c>
      <c r="Q69">
        <v>77.459999999999994</v>
      </c>
      <c r="R69" s="3">
        <f t="shared" si="8"/>
        <v>88</v>
      </c>
      <c r="S69" s="4">
        <f t="shared" si="9"/>
        <v>127.33333333333333</v>
      </c>
      <c r="T69" s="4">
        <f t="shared" si="10"/>
        <v>145</v>
      </c>
      <c r="U69" s="4">
        <f>0.3*Table3[[#This Row],[Actual_Demand]]+0.7*U68</f>
        <v>138.13374736262043</v>
      </c>
      <c r="V69" s="4">
        <f t="shared" si="11"/>
        <v>134.59679567956795</v>
      </c>
      <c r="W69" s="4">
        <f t="shared" si="12"/>
        <v>144.41639166704365</v>
      </c>
    </row>
    <row r="70" spans="1:23" x14ac:dyDescent="0.2">
      <c r="A70">
        <v>69</v>
      </c>
      <c r="B70">
        <v>132</v>
      </c>
      <c r="C70">
        <v>179</v>
      </c>
      <c r="D70">
        <v>101</v>
      </c>
      <c r="E70">
        <v>680</v>
      </c>
      <c r="F70">
        <v>6.43</v>
      </c>
      <c r="G70">
        <v>58</v>
      </c>
      <c r="H70">
        <v>7.78</v>
      </c>
      <c r="I70">
        <v>85.04</v>
      </c>
      <c r="J70">
        <v>94.92</v>
      </c>
      <c r="K70">
        <v>12</v>
      </c>
      <c r="L70">
        <v>7</v>
      </c>
      <c r="M70">
        <v>9</v>
      </c>
      <c r="N70">
        <v>9</v>
      </c>
      <c r="O70">
        <v>8</v>
      </c>
      <c r="P70">
        <v>24.26</v>
      </c>
      <c r="Q70">
        <v>81.64</v>
      </c>
      <c r="R70" s="3">
        <f t="shared" si="8"/>
        <v>169</v>
      </c>
      <c r="S70" s="4">
        <f t="shared" si="9"/>
        <v>125.33333333333333</v>
      </c>
      <c r="T70" s="4">
        <f t="shared" si="10"/>
        <v>154</v>
      </c>
      <c r="U70" s="4">
        <f>0.3*Table3[[#This Row],[Actual_Demand]]+0.7*U69</f>
        <v>136.29362315383429</v>
      </c>
      <c r="V70" s="4">
        <f t="shared" si="11"/>
        <v>134.44289828982897</v>
      </c>
      <c r="W70" s="4">
        <f t="shared" si="12"/>
        <v>144.1907352341151</v>
      </c>
    </row>
    <row r="71" spans="1:23" x14ac:dyDescent="0.2">
      <c r="A71">
        <v>70</v>
      </c>
      <c r="B71">
        <v>81</v>
      </c>
      <c r="C71">
        <v>131</v>
      </c>
      <c r="D71">
        <v>139</v>
      </c>
      <c r="E71">
        <v>652</v>
      </c>
      <c r="F71">
        <v>5.33</v>
      </c>
      <c r="G71">
        <v>72</v>
      </c>
      <c r="H71">
        <v>4.8</v>
      </c>
      <c r="I71">
        <v>98.02</v>
      </c>
      <c r="J71">
        <v>88.17</v>
      </c>
      <c r="K71">
        <v>39</v>
      </c>
      <c r="L71">
        <v>1</v>
      </c>
      <c r="M71">
        <v>9</v>
      </c>
      <c r="N71">
        <v>7</v>
      </c>
      <c r="O71">
        <v>9</v>
      </c>
      <c r="P71">
        <v>11.84</v>
      </c>
      <c r="Q71">
        <v>84.59</v>
      </c>
      <c r="R71" s="3">
        <f t="shared" si="8"/>
        <v>132</v>
      </c>
      <c r="S71" s="4">
        <f t="shared" si="9"/>
        <v>138.33333333333334</v>
      </c>
      <c r="T71" s="4">
        <f t="shared" si="10"/>
        <v>147.25</v>
      </c>
      <c r="U71" s="4">
        <f>0.3*Table3[[#This Row],[Actual_Demand]]+0.7*U70</f>
        <v>119.70553620768399</v>
      </c>
      <c r="V71" s="4">
        <f t="shared" si="11"/>
        <v>134.28900090009</v>
      </c>
      <c r="W71" s="4">
        <f t="shared" si="12"/>
        <v>143.96507880118642</v>
      </c>
    </row>
    <row r="72" spans="1:23" x14ac:dyDescent="0.2">
      <c r="A72">
        <v>71</v>
      </c>
      <c r="B72">
        <v>163</v>
      </c>
      <c r="C72">
        <v>166</v>
      </c>
      <c r="D72">
        <v>101</v>
      </c>
      <c r="E72">
        <v>715</v>
      </c>
      <c r="F72">
        <v>5.67</v>
      </c>
      <c r="G72">
        <v>61</v>
      </c>
      <c r="H72">
        <v>9.85</v>
      </c>
      <c r="I72">
        <v>86.27</v>
      </c>
      <c r="J72">
        <v>98.66</v>
      </c>
      <c r="K72">
        <v>17</v>
      </c>
      <c r="L72">
        <v>13</v>
      </c>
      <c r="M72">
        <v>10</v>
      </c>
      <c r="N72">
        <v>3</v>
      </c>
      <c r="O72">
        <v>16</v>
      </c>
      <c r="P72">
        <v>17.649999999999999</v>
      </c>
      <c r="Q72">
        <v>79.59</v>
      </c>
      <c r="R72" s="3">
        <f t="shared" si="8"/>
        <v>81</v>
      </c>
      <c r="S72" s="4">
        <f t="shared" si="9"/>
        <v>174.66666666666666</v>
      </c>
      <c r="T72" s="4">
        <f t="shared" si="10"/>
        <v>160.75</v>
      </c>
      <c r="U72" s="4">
        <f>0.3*Table3[[#This Row],[Actual_Demand]]+0.7*U71</f>
        <v>132.69387534537879</v>
      </c>
      <c r="V72" s="4">
        <f t="shared" si="11"/>
        <v>134.13510351035103</v>
      </c>
      <c r="W72" s="4">
        <f t="shared" si="12"/>
        <v>143.73942236825789</v>
      </c>
    </row>
    <row r="73" spans="1:23" x14ac:dyDescent="0.2">
      <c r="A73">
        <v>72</v>
      </c>
      <c r="B73">
        <v>171</v>
      </c>
      <c r="C73">
        <v>140</v>
      </c>
      <c r="D73">
        <v>188</v>
      </c>
      <c r="E73">
        <v>746</v>
      </c>
      <c r="F73">
        <v>4.5199999999999996</v>
      </c>
      <c r="G73">
        <v>77</v>
      </c>
      <c r="H73">
        <v>3.77</v>
      </c>
      <c r="I73">
        <v>93.96</v>
      </c>
      <c r="J73">
        <v>99.82</v>
      </c>
      <c r="K73">
        <v>24</v>
      </c>
      <c r="L73">
        <v>7</v>
      </c>
      <c r="M73">
        <v>13</v>
      </c>
      <c r="N73">
        <v>3</v>
      </c>
      <c r="O73">
        <v>13</v>
      </c>
      <c r="P73">
        <v>23.64</v>
      </c>
      <c r="Q73">
        <v>60.34</v>
      </c>
      <c r="R73" s="3">
        <f t="shared" si="8"/>
        <v>163</v>
      </c>
      <c r="S73" s="4">
        <f t="shared" si="9"/>
        <v>166.66666666666666</v>
      </c>
      <c r="T73" s="4">
        <f t="shared" si="10"/>
        <v>154.5</v>
      </c>
      <c r="U73" s="4">
        <f>0.3*Table3[[#This Row],[Actual_Demand]]+0.7*U72</f>
        <v>144.18571274176514</v>
      </c>
      <c r="V73" s="4">
        <f t="shared" si="11"/>
        <v>133.98120612061206</v>
      </c>
      <c r="W73" s="4">
        <f t="shared" si="12"/>
        <v>143.51376593532922</v>
      </c>
    </row>
    <row r="74" spans="1:23" x14ac:dyDescent="0.2">
      <c r="A74">
        <v>73</v>
      </c>
      <c r="B74">
        <v>190</v>
      </c>
      <c r="C74">
        <v>152</v>
      </c>
      <c r="D74">
        <v>137</v>
      </c>
      <c r="E74">
        <v>391</v>
      </c>
      <c r="F74">
        <v>3.49</v>
      </c>
      <c r="G74">
        <v>58</v>
      </c>
      <c r="H74">
        <v>7.5</v>
      </c>
      <c r="I74">
        <v>99.79</v>
      </c>
      <c r="J74">
        <v>84.1</v>
      </c>
      <c r="K74">
        <v>32</v>
      </c>
      <c r="L74">
        <v>3</v>
      </c>
      <c r="M74">
        <v>6</v>
      </c>
      <c r="N74">
        <v>2</v>
      </c>
      <c r="O74">
        <v>15</v>
      </c>
      <c r="P74">
        <v>7.05</v>
      </c>
      <c r="Q74">
        <v>71.430000000000007</v>
      </c>
      <c r="R74" s="3">
        <f t="shared" si="8"/>
        <v>171</v>
      </c>
      <c r="S74" s="4">
        <f t="shared" si="9"/>
        <v>159.66666666666666</v>
      </c>
      <c r="T74" s="4">
        <f t="shared" si="10"/>
        <v>165.75</v>
      </c>
      <c r="U74" s="4">
        <f>0.3*Table3[[#This Row],[Actual_Demand]]+0.7*U73</f>
        <v>157.9299989192356</v>
      </c>
      <c r="V74" s="4">
        <f t="shared" si="11"/>
        <v>133.82730873087309</v>
      </c>
      <c r="W74" s="4">
        <f t="shared" si="12"/>
        <v>143.28810950240066</v>
      </c>
    </row>
    <row r="75" spans="1:23" x14ac:dyDescent="0.2">
      <c r="A75">
        <v>74</v>
      </c>
      <c r="B75">
        <v>139</v>
      </c>
      <c r="C75">
        <v>185</v>
      </c>
      <c r="D75">
        <v>124</v>
      </c>
      <c r="E75">
        <v>248</v>
      </c>
      <c r="F75">
        <v>4.1399999999999997</v>
      </c>
      <c r="G75">
        <v>33</v>
      </c>
      <c r="H75">
        <v>3.93</v>
      </c>
      <c r="I75">
        <v>93.05</v>
      </c>
      <c r="J75">
        <v>87.58</v>
      </c>
      <c r="K75">
        <v>46</v>
      </c>
      <c r="L75">
        <v>11</v>
      </c>
      <c r="M75">
        <v>25</v>
      </c>
      <c r="N75">
        <v>5</v>
      </c>
      <c r="O75">
        <v>4</v>
      </c>
      <c r="P75">
        <v>23.74</v>
      </c>
      <c r="Q75">
        <v>78.12</v>
      </c>
      <c r="R75" s="3">
        <f t="shared" si="8"/>
        <v>190</v>
      </c>
      <c r="S75" s="4">
        <f t="shared" si="9"/>
        <v>137.33333333333334</v>
      </c>
      <c r="T75" s="4">
        <f t="shared" si="10"/>
        <v>151</v>
      </c>
      <c r="U75" s="4">
        <f>0.3*Table3[[#This Row],[Actual_Demand]]+0.7*U74</f>
        <v>152.25099924346492</v>
      </c>
      <c r="V75" s="4">
        <f t="shared" si="11"/>
        <v>133.67341134113411</v>
      </c>
      <c r="W75" s="4">
        <f t="shared" si="12"/>
        <v>143.06245306947199</v>
      </c>
    </row>
    <row r="76" spans="1:23" x14ac:dyDescent="0.2">
      <c r="A76">
        <v>75</v>
      </c>
      <c r="B76">
        <v>150</v>
      </c>
      <c r="C76">
        <v>141</v>
      </c>
      <c r="D76">
        <v>144</v>
      </c>
      <c r="E76">
        <v>711</v>
      </c>
      <c r="F76">
        <v>6.55</v>
      </c>
      <c r="G76">
        <v>24</v>
      </c>
      <c r="H76">
        <v>8.2899999999999991</v>
      </c>
      <c r="I76">
        <v>98.86</v>
      </c>
      <c r="J76">
        <v>98.53</v>
      </c>
      <c r="K76">
        <v>39</v>
      </c>
      <c r="L76">
        <v>8</v>
      </c>
      <c r="M76">
        <v>16</v>
      </c>
      <c r="N76">
        <v>3</v>
      </c>
      <c r="O76">
        <v>9</v>
      </c>
      <c r="P76">
        <v>18.760000000000002</v>
      </c>
      <c r="Q76">
        <v>63.08</v>
      </c>
      <c r="R76" s="3">
        <f t="shared" si="8"/>
        <v>139</v>
      </c>
      <c r="S76" s="4">
        <f t="shared" si="9"/>
        <v>120</v>
      </c>
      <c r="T76" s="4">
        <f t="shared" si="10"/>
        <v>150.5</v>
      </c>
      <c r="U76" s="4">
        <f>0.3*Table3[[#This Row],[Actual_Demand]]+0.7*U75</f>
        <v>151.57569947042543</v>
      </c>
      <c r="V76" s="4">
        <f t="shared" si="11"/>
        <v>133.51951395139514</v>
      </c>
      <c r="W76" s="4">
        <f t="shared" si="12"/>
        <v>142.83679663654343</v>
      </c>
    </row>
    <row r="77" spans="1:23" x14ac:dyDescent="0.2">
      <c r="A77">
        <v>76</v>
      </c>
      <c r="B77">
        <v>123</v>
      </c>
      <c r="C77">
        <v>185</v>
      </c>
      <c r="D77">
        <v>125</v>
      </c>
      <c r="E77">
        <v>216</v>
      </c>
      <c r="F77">
        <v>2.09</v>
      </c>
      <c r="G77">
        <v>54</v>
      </c>
      <c r="H77">
        <v>5.69</v>
      </c>
      <c r="I77">
        <v>88.54</v>
      </c>
      <c r="J77">
        <v>94.43</v>
      </c>
      <c r="K77">
        <v>42</v>
      </c>
      <c r="L77">
        <v>3</v>
      </c>
      <c r="M77">
        <v>7</v>
      </c>
      <c r="N77">
        <v>6</v>
      </c>
      <c r="O77">
        <v>6</v>
      </c>
      <c r="P77">
        <v>6.36</v>
      </c>
      <c r="Q77">
        <v>72.27</v>
      </c>
      <c r="R77" s="3">
        <f t="shared" si="8"/>
        <v>150</v>
      </c>
      <c r="S77" s="4">
        <f t="shared" si="9"/>
        <v>112</v>
      </c>
      <c r="T77" s="4">
        <f t="shared" si="10"/>
        <v>143.25</v>
      </c>
      <c r="U77" s="4">
        <f>0.3*Table3[[#This Row],[Actual_Demand]]+0.7*U76</f>
        <v>143.00298962929779</v>
      </c>
      <c r="V77" s="4">
        <f t="shared" si="11"/>
        <v>133.36561656165617</v>
      </c>
      <c r="W77" s="4">
        <f t="shared" si="12"/>
        <v>142.61114020361478</v>
      </c>
    </row>
    <row r="78" spans="1:23" x14ac:dyDescent="0.2">
      <c r="A78">
        <v>77</v>
      </c>
      <c r="B78">
        <v>87</v>
      </c>
      <c r="C78">
        <v>93</v>
      </c>
      <c r="D78">
        <v>192</v>
      </c>
      <c r="E78">
        <v>371</v>
      </c>
      <c r="F78">
        <v>2.7</v>
      </c>
      <c r="G78">
        <v>37</v>
      </c>
      <c r="H78">
        <v>0.64</v>
      </c>
      <c r="I78">
        <v>96.4</v>
      </c>
      <c r="J78">
        <v>80.959999999999994</v>
      </c>
      <c r="K78">
        <v>11</v>
      </c>
      <c r="L78">
        <v>13</v>
      </c>
      <c r="M78">
        <v>24</v>
      </c>
      <c r="N78">
        <v>2</v>
      </c>
      <c r="O78">
        <v>10</v>
      </c>
      <c r="P78">
        <v>11.02</v>
      </c>
      <c r="Q78">
        <v>61.16</v>
      </c>
      <c r="R78" s="3">
        <f t="shared" si="8"/>
        <v>123</v>
      </c>
      <c r="S78" s="4">
        <f t="shared" si="9"/>
        <v>109</v>
      </c>
      <c r="T78" s="4">
        <f t="shared" si="10"/>
        <v>123</v>
      </c>
      <c r="U78" s="4">
        <f>0.3*Table3[[#This Row],[Actual_Demand]]+0.7*U77</f>
        <v>126.20209274050843</v>
      </c>
      <c r="V78" s="4">
        <f t="shared" si="11"/>
        <v>133.2117191719172</v>
      </c>
      <c r="W78" s="4">
        <f t="shared" si="12"/>
        <v>142.38548377068622</v>
      </c>
    </row>
    <row r="79" spans="1:23" x14ac:dyDescent="0.2">
      <c r="A79">
        <v>78</v>
      </c>
      <c r="B79">
        <v>126</v>
      </c>
      <c r="C79">
        <v>183</v>
      </c>
      <c r="D79">
        <v>86</v>
      </c>
      <c r="E79">
        <v>419</v>
      </c>
      <c r="F79">
        <v>2.2799999999999998</v>
      </c>
      <c r="G79">
        <v>28</v>
      </c>
      <c r="H79">
        <v>0.37</v>
      </c>
      <c r="I79">
        <v>92.97</v>
      </c>
      <c r="J79">
        <v>95.63</v>
      </c>
      <c r="K79">
        <v>43</v>
      </c>
      <c r="L79">
        <v>1</v>
      </c>
      <c r="M79">
        <v>26</v>
      </c>
      <c r="N79">
        <v>3</v>
      </c>
      <c r="O79">
        <v>15</v>
      </c>
      <c r="P79">
        <v>19.16</v>
      </c>
      <c r="Q79">
        <v>62.75</v>
      </c>
      <c r="R79" s="3">
        <f t="shared" si="8"/>
        <v>87</v>
      </c>
      <c r="S79" s="4">
        <f t="shared" si="9"/>
        <v>132.33333333333334</v>
      </c>
      <c r="T79" s="4">
        <f t="shared" si="10"/>
        <v>132.75</v>
      </c>
      <c r="U79" s="4">
        <f>0.3*Table3[[#This Row],[Actual_Demand]]+0.7*U78</f>
        <v>126.14146491835589</v>
      </c>
      <c r="V79" s="4">
        <f t="shared" si="11"/>
        <v>133.05782178217822</v>
      </c>
      <c r="W79" s="4">
        <f t="shared" si="12"/>
        <v>142.15982733775755</v>
      </c>
    </row>
    <row r="80" spans="1:23" x14ac:dyDescent="0.2">
      <c r="A80">
        <v>79</v>
      </c>
      <c r="B80">
        <v>114</v>
      </c>
      <c r="C80">
        <v>112</v>
      </c>
      <c r="D80">
        <v>107</v>
      </c>
      <c r="E80">
        <v>357</v>
      </c>
      <c r="F80">
        <v>2.2400000000000002</v>
      </c>
      <c r="G80">
        <v>77</v>
      </c>
      <c r="H80">
        <v>1.34</v>
      </c>
      <c r="I80">
        <v>95.81</v>
      </c>
      <c r="J80">
        <v>96.56</v>
      </c>
      <c r="K80">
        <v>35</v>
      </c>
      <c r="L80">
        <v>13</v>
      </c>
      <c r="M80">
        <v>16</v>
      </c>
      <c r="N80">
        <v>5</v>
      </c>
      <c r="O80">
        <v>16</v>
      </c>
      <c r="P80">
        <v>6.35</v>
      </c>
      <c r="Q80">
        <v>73.89</v>
      </c>
      <c r="R80" s="3">
        <f t="shared" si="8"/>
        <v>126</v>
      </c>
      <c r="S80" s="4">
        <f t="shared" si="9"/>
        <v>143.66666666666666</v>
      </c>
      <c r="T80" s="4">
        <f t="shared" si="10"/>
        <v>116.5</v>
      </c>
      <c r="U80" s="4">
        <f>0.3*Table3[[#This Row],[Actual_Demand]]+0.7*U79</f>
        <v>122.4990254428491</v>
      </c>
      <c r="V80" s="4">
        <f t="shared" si="11"/>
        <v>132.90392439243925</v>
      </c>
      <c r="W80" s="4">
        <f t="shared" si="12"/>
        <v>141.93417090482899</v>
      </c>
    </row>
    <row r="81" spans="1:23" x14ac:dyDescent="0.2">
      <c r="A81">
        <v>80</v>
      </c>
      <c r="B81">
        <v>157</v>
      </c>
      <c r="C81">
        <v>104</v>
      </c>
      <c r="D81">
        <v>93</v>
      </c>
      <c r="E81">
        <v>676</v>
      </c>
      <c r="F81">
        <v>7.13</v>
      </c>
      <c r="G81">
        <v>36</v>
      </c>
      <c r="H81">
        <v>0.14000000000000001</v>
      </c>
      <c r="I81">
        <v>85.94</v>
      </c>
      <c r="J81">
        <v>95.01</v>
      </c>
      <c r="K81">
        <v>47</v>
      </c>
      <c r="L81">
        <v>13</v>
      </c>
      <c r="M81">
        <v>28</v>
      </c>
      <c r="N81">
        <v>1</v>
      </c>
      <c r="O81">
        <v>12</v>
      </c>
      <c r="P81">
        <v>16.64</v>
      </c>
      <c r="Q81">
        <v>64.650000000000006</v>
      </c>
      <c r="R81" s="3">
        <f t="shared" si="8"/>
        <v>114</v>
      </c>
      <c r="S81" s="4">
        <f t="shared" si="9"/>
        <v>144</v>
      </c>
      <c r="T81" s="4">
        <f t="shared" si="10"/>
        <v>119.75</v>
      </c>
      <c r="U81" s="4">
        <f>0.3*Table3[[#This Row],[Actual_Demand]]+0.7*U80</f>
        <v>132.84931780999437</v>
      </c>
      <c r="V81" s="4">
        <f t="shared" si="11"/>
        <v>132.75002700270028</v>
      </c>
      <c r="W81" s="4">
        <f t="shared" si="12"/>
        <v>141.70851447190032</v>
      </c>
    </row>
    <row r="82" spans="1:23" x14ac:dyDescent="0.2">
      <c r="A82">
        <v>81</v>
      </c>
      <c r="B82">
        <v>160</v>
      </c>
      <c r="C82">
        <v>132</v>
      </c>
      <c r="D82">
        <v>138</v>
      </c>
      <c r="E82">
        <v>245</v>
      </c>
      <c r="F82">
        <v>6.22</v>
      </c>
      <c r="G82">
        <v>26</v>
      </c>
      <c r="H82">
        <v>0.75</v>
      </c>
      <c r="I82">
        <v>87.22</v>
      </c>
      <c r="J82">
        <v>95.99</v>
      </c>
      <c r="K82">
        <v>3</v>
      </c>
      <c r="L82">
        <v>8</v>
      </c>
      <c r="M82">
        <v>21</v>
      </c>
      <c r="N82">
        <v>1</v>
      </c>
      <c r="O82">
        <v>13</v>
      </c>
      <c r="P82">
        <v>11.92</v>
      </c>
      <c r="Q82">
        <v>79.86</v>
      </c>
      <c r="R82" s="3">
        <f t="shared" si="8"/>
        <v>157</v>
      </c>
      <c r="S82" s="4">
        <f t="shared" si="9"/>
        <v>134.66666666666666</v>
      </c>
      <c r="T82" s="4">
        <f t="shared" si="10"/>
        <v>119.25</v>
      </c>
      <c r="U82" s="4">
        <f>0.3*Table3[[#This Row],[Actual_Demand]]+0.7*U81</f>
        <v>140.99452246699605</v>
      </c>
      <c r="V82" s="4">
        <f t="shared" si="11"/>
        <v>132.59612961296131</v>
      </c>
      <c r="W82" s="4">
        <f t="shared" si="12"/>
        <v>141.48285803897178</v>
      </c>
    </row>
    <row r="83" spans="1:23" x14ac:dyDescent="0.2">
      <c r="A83">
        <v>82</v>
      </c>
      <c r="B83">
        <v>115</v>
      </c>
      <c r="C83">
        <v>118</v>
      </c>
      <c r="D83">
        <v>185</v>
      </c>
      <c r="E83">
        <v>572</v>
      </c>
      <c r="F83">
        <v>4.8499999999999996</v>
      </c>
      <c r="G83">
        <v>65</v>
      </c>
      <c r="H83">
        <v>6.92</v>
      </c>
      <c r="I83">
        <v>87</v>
      </c>
      <c r="J83">
        <v>96.5</v>
      </c>
      <c r="K83">
        <v>4</v>
      </c>
      <c r="L83">
        <v>3</v>
      </c>
      <c r="M83">
        <v>14</v>
      </c>
      <c r="N83">
        <v>9</v>
      </c>
      <c r="O83">
        <v>4</v>
      </c>
      <c r="P83">
        <v>17.420000000000002</v>
      </c>
      <c r="Q83">
        <v>84.13</v>
      </c>
      <c r="R83" s="3">
        <f t="shared" si="8"/>
        <v>160</v>
      </c>
      <c r="S83" s="4">
        <f t="shared" si="9"/>
        <v>142.33333333333334</v>
      </c>
      <c r="T83" s="4">
        <f t="shared" si="10"/>
        <v>116.5</v>
      </c>
      <c r="U83" s="4">
        <f>0.3*Table3[[#This Row],[Actual_Demand]]+0.7*U82</f>
        <v>133.19616572689722</v>
      </c>
      <c r="V83" s="4">
        <f t="shared" si="11"/>
        <v>132.44223222322233</v>
      </c>
      <c r="W83" s="4">
        <f t="shared" si="12"/>
        <v>141.25720160604311</v>
      </c>
    </row>
    <row r="84" spans="1:23" x14ac:dyDescent="0.2">
      <c r="A84">
        <v>83</v>
      </c>
      <c r="B84">
        <v>129</v>
      </c>
      <c r="C84">
        <v>125</v>
      </c>
      <c r="D84">
        <v>167</v>
      </c>
      <c r="E84">
        <v>717</v>
      </c>
      <c r="F84">
        <v>2.59</v>
      </c>
      <c r="G84">
        <v>32</v>
      </c>
      <c r="H84">
        <v>5.34</v>
      </c>
      <c r="I84">
        <v>95.31</v>
      </c>
      <c r="J84">
        <v>83.73</v>
      </c>
      <c r="K84">
        <v>36</v>
      </c>
      <c r="L84">
        <v>2</v>
      </c>
      <c r="M84">
        <v>28</v>
      </c>
      <c r="N84">
        <v>7</v>
      </c>
      <c r="O84">
        <v>11</v>
      </c>
      <c r="P84">
        <v>5.91</v>
      </c>
      <c r="Q84">
        <v>88.02</v>
      </c>
      <c r="R84" s="3">
        <f t="shared" si="8"/>
        <v>115</v>
      </c>
      <c r="S84" s="4">
        <f t="shared" si="9"/>
        <v>131.66666666666666</v>
      </c>
      <c r="T84" s="4">
        <f t="shared" si="10"/>
        <v>127</v>
      </c>
      <c r="U84" s="4">
        <f>0.3*Table3[[#This Row],[Actual_Demand]]+0.7*U83</f>
        <v>131.93731600882805</v>
      </c>
      <c r="V84" s="4">
        <f t="shared" si="11"/>
        <v>132.28833483348336</v>
      </c>
      <c r="W84" s="4">
        <f t="shared" si="12"/>
        <v>141.03154517311455</v>
      </c>
    </row>
    <row r="85" spans="1:23" x14ac:dyDescent="0.2">
      <c r="A85">
        <v>84</v>
      </c>
      <c r="B85">
        <v>183</v>
      </c>
      <c r="C85">
        <v>102</v>
      </c>
      <c r="D85">
        <v>139</v>
      </c>
      <c r="E85">
        <v>298</v>
      </c>
      <c r="F85">
        <v>4.95</v>
      </c>
      <c r="G85">
        <v>59</v>
      </c>
      <c r="H85">
        <v>7.5</v>
      </c>
      <c r="I85">
        <v>97.67</v>
      </c>
      <c r="J85">
        <v>84.71</v>
      </c>
      <c r="K85">
        <v>7</v>
      </c>
      <c r="L85">
        <v>1</v>
      </c>
      <c r="M85">
        <v>18</v>
      </c>
      <c r="N85">
        <v>1</v>
      </c>
      <c r="O85">
        <v>19</v>
      </c>
      <c r="P85">
        <v>22.43</v>
      </c>
      <c r="Q85">
        <v>67.010000000000005</v>
      </c>
      <c r="R85" s="3">
        <f t="shared" si="8"/>
        <v>129</v>
      </c>
      <c r="S85" s="4">
        <f t="shared" si="9"/>
        <v>115.66666666666667</v>
      </c>
      <c r="T85" s="4">
        <f t="shared" si="10"/>
        <v>132.75</v>
      </c>
      <c r="U85" s="4">
        <f>0.3*Table3[[#This Row],[Actual_Demand]]+0.7*U84</f>
        <v>147.25612120617961</v>
      </c>
      <c r="V85" s="4">
        <f t="shared" si="11"/>
        <v>132.13443744374439</v>
      </c>
      <c r="W85" s="4">
        <f t="shared" si="12"/>
        <v>140.80588874018588</v>
      </c>
    </row>
    <row r="86" spans="1:23" x14ac:dyDescent="0.2">
      <c r="A86">
        <v>85</v>
      </c>
      <c r="B86">
        <v>83</v>
      </c>
      <c r="C86">
        <v>121</v>
      </c>
      <c r="D86">
        <v>155</v>
      </c>
      <c r="E86">
        <v>236</v>
      </c>
      <c r="F86">
        <v>4.84</v>
      </c>
      <c r="G86">
        <v>61</v>
      </c>
      <c r="H86">
        <v>9.1300000000000008</v>
      </c>
      <c r="I86">
        <v>96.24</v>
      </c>
      <c r="J86">
        <v>92.68</v>
      </c>
      <c r="K86">
        <v>41</v>
      </c>
      <c r="L86">
        <v>3</v>
      </c>
      <c r="M86">
        <v>27</v>
      </c>
      <c r="N86">
        <v>8</v>
      </c>
      <c r="O86">
        <v>5</v>
      </c>
      <c r="P86">
        <v>24.47</v>
      </c>
      <c r="Q86">
        <v>65.86</v>
      </c>
      <c r="R86" s="3">
        <f t="shared" si="8"/>
        <v>183</v>
      </c>
      <c r="S86" s="4">
        <f t="shared" si="9"/>
        <v>83</v>
      </c>
      <c r="T86" s="4">
        <f t="shared" si="10"/>
        <v>151</v>
      </c>
      <c r="U86" s="4">
        <f>0.3*Table3[[#This Row],[Actual_Demand]]+0.7*U85</f>
        <v>127.97928484432572</v>
      </c>
      <c r="V86" s="4">
        <f t="shared" si="11"/>
        <v>131.98054005400539</v>
      </c>
      <c r="W86" s="4">
        <f t="shared" si="12"/>
        <v>140.58023230725735</v>
      </c>
    </row>
    <row r="87" spans="1:23" x14ac:dyDescent="0.2">
      <c r="A87">
        <v>86</v>
      </c>
      <c r="B87">
        <v>81</v>
      </c>
      <c r="C87">
        <v>160</v>
      </c>
      <c r="D87">
        <v>80</v>
      </c>
      <c r="E87">
        <v>479</v>
      </c>
      <c r="F87">
        <v>3.04</v>
      </c>
      <c r="G87">
        <v>28</v>
      </c>
      <c r="H87">
        <v>5.85</v>
      </c>
      <c r="I87">
        <v>85.46</v>
      </c>
      <c r="J87">
        <v>98.16</v>
      </c>
      <c r="K87">
        <v>48</v>
      </c>
      <c r="L87">
        <v>2</v>
      </c>
      <c r="M87">
        <v>21</v>
      </c>
      <c r="N87">
        <v>3</v>
      </c>
      <c r="O87">
        <v>8</v>
      </c>
      <c r="P87">
        <v>24.38</v>
      </c>
      <c r="Q87">
        <v>63.66</v>
      </c>
      <c r="R87" s="3">
        <f t="shared" si="8"/>
        <v>83</v>
      </c>
      <c r="S87" s="4">
        <f t="shared" si="9"/>
        <v>99.666666666666671</v>
      </c>
      <c r="T87" s="4">
        <f t="shared" si="10"/>
        <v>150</v>
      </c>
      <c r="U87" s="4">
        <f>0.3*Table3[[#This Row],[Actual_Demand]]+0.7*U86</f>
        <v>113.88549939102799</v>
      </c>
      <c r="V87" s="4">
        <f t="shared" si="11"/>
        <v>131.82664266426642</v>
      </c>
      <c r="W87" s="4">
        <f t="shared" si="12"/>
        <v>140.35457587432867</v>
      </c>
    </row>
    <row r="88" spans="1:23" x14ac:dyDescent="0.2">
      <c r="A88">
        <v>87</v>
      </c>
      <c r="B88">
        <v>85</v>
      </c>
      <c r="C88">
        <v>148</v>
      </c>
      <c r="D88">
        <v>181</v>
      </c>
      <c r="E88">
        <v>548</v>
      </c>
      <c r="F88">
        <v>4.5999999999999996</v>
      </c>
      <c r="G88">
        <v>69</v>
      </c>
      <c r="H88">
        <v>7.26</v>
      </c>
      <c r="I88">
        <v>98.01</v>
      </c>
      <c r="J88">
        <v>86.32</v>
      </c>
      <c r="K88">
        <v>27</v>
      </c>
      <c r="L88">
        <v>2</v>
      </c>
      <c r="M88">
        <v>22</v>
      </c>
      <c r="N88">
        <v>8</v>
      </c>
      <c r="O88">
        <v>7</v>
      </c>
      <c r="P88">
        <v>19.989999999999998</v>
      </c>
      <c r="Q88">
        <v>82.28</v>
      </c>
      <c r="R88" s="3">
        <f t="shared" si="8"/>
        <v>81</v>
      </c>
      <c r="S88" s="4">
        <f t="shared" si="9"/>
        <v>134.33333333333334</v>
      </c>
      <c r="T88" s="4">
        <f t="shared" si="10"/>
        <v>148.75</v>
      </c>
      <c r="U88" s="4">
        <f>0.3*Table3[[#This Row],[Actual_Demand]]+0.7*U87</f>
        <v>105.21984957371959</v>
      </c>
      <c r="V88" s="4">
        <f t="shared" si="11"/>
        <v>131.67274527452744</v>
      </c>
      <c r="W88" s="4">
        <f t="shared" si="12"/>
        <v>140.12891944140011</v>
      </c>
    </row>
    <row r="89" spans="1:23" x14ac:dyDescent="0.2">
      <c r="A89">
        <v>88</v>
      </c>
      <c r="B89">
        <v>133</v>
      </c>
      <c r="C89">
        <v>175</v>
      </c>
      <c r="D89">
        <v>85</v>
      </c>
      <c r="E89">
        <v>696</v>
      </c>
      <c r="F89">
        <v>4.3899999999999997</v>
      </c>
      <c r="G89">
        <v>46</v>
      </c>
      <c r="H89">
        <v>7.57</v>
      </c>
      <c r="I89">
        <v>90.31</v>
      </c>
      <c r="J89">
        <v>91.77</v>
      </c>
      <c r="K89">
        <v>30</v>
      </c>
      <c r="L89">
        <v>6</v>
      </c>
      <c r="M89">
        <v>23</v>
      </c>
      <c r="N89">
        <v>5</v>
      </c>
      <c r="O89">
        <v>7</v>
      </c>
      <c r="P89">
        <v>7.6</v>
      </c>
      <c r="Q89">
        <v>84.73</v>
      </c>
      <c r="R89" s="3">
        <f t="shared" si="8"/>
        <v>85</v>
      </c>
      <c r="S89" s="4">
        <f t="shared" si="9"/>
        <v>133.66666666666666</v>
      </c>
      <c r="T89" s="4">
        <f t="shared" si="10"/>
        <v>144.5</v>
      </c>
      <c r="U89" s="4">
        <f>0.3*Table3[[#This Row],[Actual_Demand]]+0.7*U88</f>
        <v>113.5538947016037</v>
      </c>
      <c r="V89" s="4">
        <f t="shared" si="11"/>
        <v>131.51884788478847</v>
      </c>
      <c r="W89" s="4">
        <f t="shared" si="12"/>
        <v>139.90326300847144</v>
      </c>
    </row>
    <row r="90" spans="1:23" x14ac:dyDescent="0.2">
      <c r="A90">
        <v>89</v>
      </c>
      <c r="B90">
        <v>185</v>
      </c>
      <c r="C90">
        <v>117</v>
      </c>
      <c r="D90">
        <v>166</v>
      </c>
      <c r="E90">
        <v>501</v>
      </c>
      <c r="F90">
        <v>5.7</v>
      </c>
      <c r="G90">
        <v>85</v>
      </c>
      <c r="H90">
        <v>3.78</v>
      </c>
      <c r="I90">
        <v>90.96</v>
      </c>
      <c r="J90">
        <v>93.66</v>
      </c>
      <c r="K90">
        <v>8</v>
      </c>
      <c r="L90">
        <v>12</v>
      </c>
      <c r="M90">
        <v>21</v>
      </c>
      <c r="N90">
        <v>1</v>
      </c>
      <c r="O90">
        <v>17</v>
      </c>
      <c r="P90">
        <v>20.170000000000002</v>
      </c>
      <c r="Q90">
        <v>61.11</v>
      </c>
      <c r="R90" s="3">
        <f t="shared" si="8"/>
        <v>133</v>
      </c>
      <c r="S90" s="4">
        <f t="shared" si="9"/>
        <v>133.66666666666666</v>
      </c>
      <c r="T90" s="4">
        <f t="shared" si="10"/>
        <v>134.25</v>
      </c>
      <c r="U90" s="4">
        <f>0.3*Table3[[#This Row],[Actual_Demand]]+0.7*U89</f>
        <v>134.98772629112258</v>
      </c>
      <c r="V90" s="4">
        <f t="shared" si="11"/>
        <v>131.3649504950495</v>
      </c>
      <c r="W90" s="4">
        <f t="shared" si="12"/>
        <v>139.67760657554291</v>
      </c>
    </row>
    <row r="91" spans="1:23" x14ac:dyDescent="0.2">
      <c r="A91">
        <v>90</v>
      </c>
      <c r="B91">
        <v>83</v>
      </c>
      <c r="C91">
        <v>155</v>
      </c>
      <c r="D91">
        <v>142</v>
      </c>
      <c r="E91">
        <v>380</v>
      </c>
      <c r="F91">
        <v>5.81</v>
      </c>
      <c r="G91">
        <v>24</v>
      </c>
      <c r="H91">
        <v>2.41</v>
      </c>
      <c r="I91">
        <v>86.57</v>
      </c>
      <c r="J91">
        <v>89.04</v>
      </c>
      <c r="K91">
        <v>28</v>
      </c>
      <c r="L91">
        <v>1</v>
      </c>
      <c r="M91">
        <v>18</v>
      </c>
      <c r="N91">
        <v>7</v>
      </c>
      <c r="O91">
        <v>19</v>
      </c>
      <c r="P91">
        <v>5.49</v>
      </c>
      <c r="Q91">
        <v>92.77</v>
      </c>
      <c r="R91" s="3">
        <f t="shared" si="8"/>
        <v>185</v>
      </c>
      <c r="S91" s="4">
        <f t="shared" si="9"/>
        <v>129.33333333333334</v>
      </c>
      <c r="T91" s="4">
        <f t="shared" si="10"/>
        <v>142.75</v>
      </c>
      <c r="U91" s="4">
        <f>0.3*Table3[[#This Row],[Actual_Demand]]+0.7*U90</f>
        <v>119.39140840378579</v>
      </c>
      <c r="V91" s="4">
        <f t="shared" si="11"/>
        <v>131.21105310531053</v>
      </c>
      <c r="W91" s="4">
        <f t="shared" si="12"/>
        <v>139.45195014261424</v>
      </c>
    </row>
    <row r="92" spans="1:23" x14ac:dyDescent="0.2">
      <c r="A92">
        <v>91</v>
      </c>
      <c r="B92">
        <v>133</v>
      </c>
      <c r="C92">
        <v>131</v>
      </c>
      <c r="D92">
        <v>193</v>
      </c>
      <c r="E92">
        <v>298</v>
      </c>
      <c r="F92">
        <v>2.27</v>
      </c>
      <c r="G92">
        <v>48</v>
      </c>
      <c r="H92">
        <v>2.0499999999999998</v>
      </c>
      <c r="I92">
        <v>96.06</v>
      </c>
      <c r="J92">
        <v>94.28</v>
      </c>
      <c r="K92">
        <v>13</v>
      </c>
      <c r="L92">
        <v>2</v>
      </c>
      <c r="M92">
        <v>13</v>
      </c>
      <c r="N92">
        <v>5</v>
      </c>
      <c r="O92">
        <v>11</v>
      </c>
      <c r="P92">
        <v>5.44</v>
      </c>
      <c r="Q92">
        <v>61.82</v>
      </c>
      <c r="R92" s="3">
        <f t="shared" si="8"/>
        <v>83</v>
      </c>
      <c r="S92" s="4">
        <f t="shared" si="9"/>
        <v>149</v>
      </c>
      <c r="T92" s="4">
        <f t="shared" si="10"/>
        <v>140.5</v>
      </c>
      <c r="U92" s="4">
        <f>0.3*Table3[[#This Row],[Actual_Demand]]+0.7*U91</f>
        <v>123.47398588265006</v>
      </c>
      <c r="V92" s="4">
        <f t="shared" si="11"/>
        <v>131.05715571557155</v>
      </c>
      <c r="W92" s="4">
        <f t="shared" si="12"/>
        <v>139.22629370968568</v>
      </c>
    </row>
    <row r="93" spans="1:23" x14ac:dyDescent="0.2">
      <c r="A93">
        <v>92</v>
      </c>
      <c r="B93">
        <v>172</v>
      </c>
      <c r="C93">
        <v>134</v>
      </c>
      <c r="D93">
        <v>128</v>
      </c>
      <c r="E93">
        <v>315</v>
      </c>
      <c r="F93">
        <v>4.25</v>
      </c>
      <c r="G93">
        <v>56</v>
      </c>
      <c r="H93">
        <v>2.5099999999999998</v>
      </c>
      <c r="I93">
        <v>87.73</v>
      </c>
      <c r="J93">
        <v>97.99</v>
      </c>
      <c r="K93">
        <v>39</v>
      </c>
      <c r="L93">
        <v>6</v>
      </c>
      <c r="M93">
        <v>12</v>
      </c>
      <c r="N93">
        <v>6</v>
      </c>
      <c r="O93">
        <v>5</v>
      </c>
      <c r="P93">
        <v>11.47</v>
      </c>
      <c r="Q93">
        <v>78.95</v>
      </c>
      <c r="R93" s="3">
        <f t="shared" si="8"/>
        <v>133</v>
      </c>
      <c r="S93" s="4">
        <f t="shared" si="9"/>
        <v>137</v>
      </c>
      <c r="T93" s="4">
        <f t="shared" si="10"/>
        <v>131.5</v>
      </c>
      <c r="U93" s="4">
        <f>0.3*Table3[[#This Row],[Actual_Demand]]+0.7*U92</f>
        <v>138.03179011785502</v>
      </c>
      <c r="V93" s="4">
        <f t="shared" si="11"/>
        <v>130.90325832583258</v>
      </c>
      <c r="W93" s="4">
        <f t="shared" si="12"/>
        <v>139.000637276757</v>
      </c>
    </row>
    <row r="94" spans="1:23" x14ac:dyDescent="0.2">
      <c r="A94">
        <v>93</v>
      </c>
      <c r="B94">
        <v>142</v>
      </c>
      <c r="C94">
        <v>151</v>
      </c>
      <c r="D94">
        <v>139</v>
      </c>
      <c r="E94">
        <v>390</v>
      </c>
      <c r="F94">
        <v>5.76</v>
      </c>
      <c r="G94">
        <v>57</v>
      </c>
      <c r="H94">
        <v>2.75</v>
      </c>
      <c r="I94">
        <v>93.46</v>
      </c>
      <c r="J94">
        <v>92.48</v>
      </c>
      <c r="K94">
        <v>40</v>
      </c>
      <c r="L94">
        <v>3</v>
      </c>
      <c r="M94">
        <v>6</v>
      </c>
      <c r="N94">
        <v>6</v>
      </c>
      <c r="O94">
        <v>19</v>
      </c>
      <c r="P94">
        <v>14.77</v>
      </c>
      <c r="Q94">
        <v>84.82</v>
      </c>
      <c r="R94" s="3">
        <f t="shared" si="8"/>
        <v>172</v>
      </c>
      <c r="S94" s="4">
        <f t="shared" si="9"/>
        <v>136</v>
      </c>
      <c r="T94" s="4">
        <f t="shared" si="10"/>
        <v>127.25</v>
      </c>
      <c r="U94" s="4">
        <f>0.3*Table3[[#This Row],[Actual_Demand]]+0.7*U93</f>
        <v>139.22225308249853</v>
      </c>
      <c r="V94" s="4">
        <f t="shared" si="11"/>
        <v>130.74936093609361</v>
      </c>
      <c r="W94" s="4">
        <f t="shared" si="12"/>
        <v>138.77498084382844</v>
      </c>
    </row>
    <row r="95" spans="1:23" x14ac:dyDescent="0.2">
      <c r="A95">
        <v>94</v>
      </c>
      <c r="B95">
        <v>97</v>
      </c>
      <c r="C95">
        <v>146</v>
      </c>
      <c r="D95">
        <v>149</v>
      </c>
      <c r="E95">
        <v>452</v>
      </c>
      <c r="F95">
        <v>5.0199999999999996</v>
      </c>
      <c r="G95">
        <v>27</v>
      </c>
      <c r="H95">
        <v>2.0699999999999998</v>
      </c>
      <c r="I95">
        <v>97.61</v>
      </c>
      <c r="J95">
        <v>90.8</v>
      </c>
      <c r="K95">
        <v>21</v>
      </c>
      <c r="L95">
        <v>4</v>
      </c>
      <c r="M95">
        <v>17</v>
      </c>
      <c r="N95">
        <v>8</v>
      </c>
      <c r="O95">
        <v>12</v>
      </c>
      <c r="P95">
        <v>20.41</v>
      </c>
      <c r="Q95">
        <v>90.48</v>
      </c>
      <c r="R95" s="3">
        <f t="shared" si="8"/>
        <v>142</v>
      </c>
      <c r="S95" s="4">
        <f t="shared" si="9"/>
        <v>129.66666666666666</v>
      </c>
      <c r="T95" s="4">
        <f t="shared" si="10"/>
        <v>118.75</v>
      </c>
      <c r="U95" s="4">
        <f>0.3*Table3[[#This Row],[Actual_Demand]]+0.7*U94</f>
        <v>126.55557715774896</v>
      </c>
      <c r="V95" s="4">
        <f t="shared" si="11"/>
        <v>130.59546354635464</v>
      </c>
      <c r="W95" s="4">
        <f t="shared" si="12"/>
        <v>138.5493244108998</v>
      </c>
    </row>
    <row r="96" spans="1:23" x14ac:dyDescent="0.2">
      <c r="A96">
        <v>95</v>
      </c>
      <c r="B96">
        <v>169</v>
      </c>
      <c r="C96">
        <v>95</v>
      </c>
      <c r="D96">
        <v>162</v>
      </c>
      <c r="E96">
        <v>360</v>
      </c>
      <c r="F96">
        <v>7.14</v>
      </c>
      <c r="G96">
        <v>84</v>
      </c>
      <c r="H96">
        <v>8.7799999999999994</v>
      </c>
      <c r="I96">
        <v>86.34</v>
      </c>
      <c r="J96">
        <v>88.77</v>
      </c>
      <c r="K96">
        <v>10</v>
      </c>
      <c r="L96">
        <v>1</v>
      </c>
      <c r="M96">
        <v>29</v>
      </c>
      <c r="N96">
        <v>9</v>
      </c>
      <c r="O96">
        <v>5</v>
      </c>
      <c r="P96">
        <v>18.670000000000002</v>
      </c>
      <c r="Q96">
        <v>84.99</v>
      </c>
      <c r="R96" s="3">
        <f t="shared" si="8"/>
        <v>97</v>
      </c>
      <c r="S96" s="4">
        <f t="shared" si="9"/>
        <v>135</v>
      </c>
      <c r="T96" s="4">
        <f t="shared" si="10"/>
        <v>115.5</v>
      </c>
      <c r="U96" s="4">
        <f>0.3*Table3[[#This Row],[Actual_Demand]]+0.7*U95</f>
        <v>139.28890401042426</v>
      </c>
      <c r="V96" s="4">
        <f t="shared" si="11"/>
        <v>130.44156615661566</v>
      </c>
      <c r="W96" s="4">
        <f t="shared" si="12"/>
        <v>138.32366797797124</v>
      </c>
    </row>
    <row r="97" spans="1:23" x14ac:dyDescent="0.2">
      <c r="A97">
        <v>96</v>
      </c>
      <c r="B97">
        <v>123</v>
      </c>
      <c r="C97">
        <v>117</v>
      </c>
      <c r="D97">
        <v>72</v>
      </c>
      <c r="E97">
        <v>455</v>
      </c>
      <c r="F97">
        <v>5.95</v>
      </c>
      <c r="G97">
        <v>36</v>
      </c>
      <c r="H97">
        <v>7.57</v>
      </c>
      <c r="I97">
        <v>93.03</v>
      </c>
      <c r="J97">
        <v>91.55</v>
      </c>
      <c r="K97">
        <v>22</v>
      </c>
      <c r="L97">
        <v>8</v>
      </c>
      <c r="M97">
        <v>11</v>
      </c>
      <c r="N97">
        <v>2</v>
      </c>
      <c r="O97">
        <v>19</v>
      </c>
      <c r="P97">
        <v>13.92</v>
      </c>
      <c r="Q97">
        <v>88.06</v>
      </c>
      <c r="R97" s="3">
        <f t="shared" si="8"/>
        <v>169</v>
      </c>
      <c r="S97" s="4">
        <f t="shared" si="9"/>
        <v>129.66666666666666</v>
      </c>
      <c r="T97" s="4">
        <f t="shared" si="10"/>
        <v>135</v>
      </c>
      <c r="U97" s="4">
        <f>0.3*Table3[[#This Row],[Actual_Demand]]+0.7*U96</f>
        <v>134.40223280729697</v>
      </c>
      <c r="V97" s="4">
        <f t="shared" si="11"/>
        <v>130.28766876687669</v>
      </c>
      <c r="W97" s="4">
        <f t="shared" si="12"/>
        <v>138.09801154504257</v>
      </c>
    </row>
    <row r="98" spans="1:23" x14ac:dyDescent="0.2">
      <c r="A98">
        <v>97</v>
      </c>
      <c r="B98">
        <v>113</v>
      </c>
      <c r="C98">
        <v>117</v>
      </c>
      <c r="D98">
        <v>89</v>
      </c>
      <c r="E98">
        <v>522</v>
      </c>
      <c r="F98">
        <v>2.98</v>
      </c>
      <c r="G98">
        <v>64</v>
      </c>
      <c r="H98">
        <v>0.47</v>
      </c>
      <c r="I98">
        <v>88.5</v>
      </c>
      <c r="J98">
        <v>87.11</v>
      </c>
      <c r="K98">
        <v>0</v>
      </c>
      <c r="L98">
        <v>13</v>
      </c>
      <c r="M98">
        <v>13</v>
      </c>
      <c r="N98">
        <v>9</v>
      </c>
      <c r="O98">
        <v>5</v>
      </c>
      <c r="P98">
        <v>10.47</v>
      </c>
      <c r="Q98">
        <v>71.88</v>
      </c>
      <c r="R98" s="3">
        <f t="shared" si="8"/>
        <v>123</v>
      </c>
      <c r="S98" s="4">
        <f t="shared" ref="S98:S129" si="13">AVERAGE(B98:B100)</f>
        <v>135.66666666666666</v>
      </c>
      <c r="T98" s="4">
        <f t="shared" ref="T98:T129" si="14">AVERAGE(C98:C101)</f>
        <v>135.5</v>
      </c>
      <c r="U98" s="4">
        <f>0.3*Table3[[#This Row],[Actual_Demand]]+0.7*U97</f>
        <v>127.98156296510788</v>
      </c>
      <c r="V98" s="4">
        <f t="shared" si="11"/>
        <v>130.13377137713772</v>
      </c>
      <c r="W98" s="4">
        <f t="shared" si="12"/>
        <v>137.87235511211401</v>
      </c>
    </row>
    <row r="99" spans="1:23" x14ac:dyDescent="0.2">
      <c r="A99">
        <v>98</v>
      </c>
      <c r="B99">
        <v>153</v>
      </c>
      <c r="C99">
        <v>133</v>
      </c>
      <c r="D99">
        <v>193</v>
      </c>
      <c r="E99">
        <v>327</v>
      </c>
      <c r="F99">
        <v>2.42</v>
      </c>
      <c r="G99">
        <v>23</v>
      </c>
      <c r="H99">
        <v>2.69</v>
      </c>
      <c r="I99">
        <v>90.14</v>
      </c>
      <c r="J99">
        <v>87.83</v>
      </c>
      <c r="K99">
        <v>45</v>
      </c>
      <c r="L99">
        <v>7</v>
      </c>
      <c r="M99">
        <v>26</v>
      </c>
      <c r="N99">
        <v>9</v>
      </c>
      <c r="O99">
        <v>5</v>
      </c>
      <c r="P99">
        <v>24.94</v>
      </c>
      <c r="Q99">
        <v>88.52</v>
      </c>
      <c r="R99" s="3">
        <f t="shared" si="8"/>
        <v>113</v>
      </c>
      <c r="S99" s="4">
        <f t="shared" si="13"/>
        <v>157.66666666666666</v>
      </c>
      <c r="T99" s="4">
        <f t="shared" si="14"/>
        <v>141.66666666666666</v>
      </c>
      <c r="U99" s="4">
        <f>0.3*Table3[[#This Row],[Actual_Demand]]+0.7*U98</f>
        <v>135.4870940755755</v>
      </c>
      <c r="V99" s="4">
        <f t="shared" si="11"/>
        <v>129.97987398739875</v>
      </c>
      <c r="W99" s="4">
        <f t="shared" si="12"/>
        <v>137.64669867918536</v>
      </c>
    </row>
    <row r="100" spans="1:23" x14ac:dyDescent="0.2">
      <c r="A100">
        <v>99</v>
      </c>
      <c r="B100">
        <v>141</v>
      </c>
      <c r="C100">
        <v>173</v>
      </c>
      <c r="D100">
        <v>128</v>
      </c>
      <c r="E100">
        <v>217</v>
      </c>
      <c r="F100">
        <v>5.85</v>
      </c>
      <c r="G100">
        <v>55</v>
      </c>
      <c r="H100">
        <v>0.22</v>
      </c>
      <c r="I100">
        <v>92.11</v>
      </c>
      <c r="J100">
        <v>90.64</v>
      </c>
      <c r="K100">
        <v>36</v>
      </c>
      <c r="L100">
        <v>7</v>
      </c>
      <c r="M100">
        <v>26</v>
      </c>
      <c r="N100">
        <v>7</v>
      </c>
      <c r="O100">
        <v>8</v>
      </c>
      <c r="P100">
        <v>13.52</v>
      </c>
      <c r="Q100">
        <v>62.8</v>
      </c>
      <c r="R100" s="3">
        <f t="shared" si="8"/>
        <v>153</v>
      </c>
      <c r="S100" s="4">
        <f t="shared" si="13"/>
        <v>160</v>
      </c>
      <c r="T100" s="4">
        <f t="shared" si="14"/>
        <v>146</v>
      </c>
      <c r="U100" s="4">
        <f>0.3*Table3[[#This Row],[Actual_Demand]]+0.7*U99</f>
        <v>137.14096585290284</v>
      </c>
      <c r="V100" s="4">
        <f t="shared" si="11"/>
        <v>129.82597659765977</v>
      </c>
      <c r="W100" s="4">
        <f t="shared" si="12"/>
        <v>137.4210422462568</v>
      </c>
    </row>
    <row r="101" spans="1:23" x14ac:dyDescent="0.2">
      <c r="A101">
        <v>100</v>
      </c>
      <c r="B101">
        <v>179</v>
      </c>
      <c r="C101">
        <v>119</v>
      </c>
      <c r="D101">
        <v>105</v>
      </c>
      <c r="E101">
        <v>765</v>
      </c>
      <c r="F101">
        <v>2.16</v>
      </c>
      <c r="G101">
        <v>89</v>
      </c>
      <c r="H101">
        <v>4.9800000000000004</v>
      </c>
      <c r="I101">
        <v>90.33</v>
      </c>
      <c r="J101">
        <v>81.33</v>
      </c>
      <c r="K101">
        <v>20</v>
      </c>
      <c r="L101">
        <v>3</v>
      </c>
      <c r="M101">
        <v>15</v>
      </c>
      <c r="N101">
        <v>1</v>
      </c>
      <c r="O101">
        <v>15</v>
      </c>
      <c r="P101">
        <v>14.03</v>
      </c>
      <c r="Q101">
        <v>91.32</v>
      </c>
      <c r="R101" s="3">
        <f t="shared" si="8"/>
        <v>141</v>
      </c>
      <c r="S101" s="4">
        <f t="shared" si="13"/>
        <v>179</v>
      </c>
      <c r="T101" s="4">
        <f t="shared" si="14"/>
        <v>119</v>
      </c>
      <c r="U101" s="4">
        <f>0.3*Table3[[#This Row],[Actual_Demand]]+0.7*U100</f>
        <v>149.69867609703198</v>
      </c>
      <c r="V101" s="4">
        <f t="shared" si="11"/>
        <v>129.6720792079208</v>
      </c>
      <c r="W101" s="4">
        <f t="shared" si="12"/>
        <v>137.19538581332813</v>
      </c>
    </row>
    <row r="102" spans="1:23" x14ac:dyDescent="0.2">
      <c r="R102"/>
      <c r="S102"/>
      <c r="T102"/>
      <c r="U102"/>
      <c r="V102"/>
      <c r="W102"/>
    </row>
    <row r="103" spans="1:23" x14ac:dyDescent="0.2">
      <c r="R103"/>
      <c r="S103"/>
      <c r="T103"/>
      <c r="U103"/>
      <c r="V103"/>
      <c r="W103"/>
    </row>
    <row r="104" spans="1:23" x14ac:dyDescent="0.2">
      <c r="R104"/>
      <c r="S104"/>
      <c r="T104"/>
      <c r="U104"/>
      <c r="V104"/>
      <c r="W104"/>
    </row>
    <row r="105" spans="1:23" x14ac:dyDescent="0.2">
      <c r="R105"/>
      <c r="S105"/>
      <c r="T105"/>
      <c r="U105"/>
      <c r="V105"/>
      <c r="W105"/>
    </row>
    <row r="106" spans="1:23" x14ac:dyDescent="0.2">
      <c r="R106"/>
      <c r="S106"/>
      <c r="T106"/>
      <c r="U106"/>
      <c r="V106"/>
      <c r="W106"/>
    </row>
    <row r="107" spans="1:23" x14ac:dyDescent="0.2">
      <c r="R107"/>
      <c r="S107"/>
      <c r="T107"/>
      <c r="U107"/>
      <c r="V107"/>
      <c r="W107"/>
    </row>
    <row r="108" spans="1:23" x14ac:dyDescent="0.2">
      <c r="R108"/>
      <c r="S108"/>
      <c r="T108"/>
      <c r="U108"/>
      <c r="V108"/>
      <c r="W108"/>
    </row>
    <row r="109" spans="1:23" x14ac:dyDescent="0.2">
      <c r="R109"/>
      <c r="S109"/>
      <c r="T109"/>
      <c r="U109"/>
      <c r="V109"/>
      <c r="W109"/>
    </row>
    <row r="110" spans="1:23" x14ac:dyDescent="0.2">
      <c r="R110"/>
      <c r="S110"/>
      <c r="T110"/>
      <c r="U110"/>
      <c r="V110"/>
      <c r="W110"/>
    </row>
    <row r="111" spans="1:23" x14ac:dyDescent="0.2">
      <c r="R111"/>
      <c r="S111"/>
      <c r="T111"/>
      <c r="U111"/>
      <c r="V111"/>
      <c r="W111"/>
    </row>
    <row r="112" spans="1:23" x14ac:dyDescent="0.2">
      <c r="R112"/>
      <c r="S112"/>
      <c r="T112"/>
      <c r="U112"/>
      <c r="V112"/>
      <c r="W112"/>
    </row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</sheetData>
  <mergeCells count="1">
    <mergeCell ref="AE3:AJ3"/>
  </mergeCells>
  <pageMargins left="0.7" right="0.7" top="0.75" bottom="0.75" header="0.3" footer="0.3"/>
  <ignoredErrors>
    <ignoredError sqref="S2:S101 T16 T2:T15 T17:T101" formulaRange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Supply_Chain_Forecasting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patel</dc:creator>
  <cp:lastModifiedBy>Ahsan Riaz</cp:lastModifiedBy>
  <dcterms:created xsi:type="dcterms:W3CDTF">2026-03-03T20:53:46Z</dcterms:created>
  <dcterms:modified xsi:type="dcterms:W3CDTF">2026-05-09T19:41:59Z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2026-05-09T19:41:32Z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b9570eef-9d05-44eb-bcdc-59b6e6dec3f5</vt:lpwstr>
  </property>
  <property fmtid="{D5CDD505-2E9C-101B-9397-08002B2CF9AE}" pid="8" name="MSIP_Label_a73fd474-4f3c-44ed-88fb-5cc4bd2471bf_ContentBits">
    <vt:lpwstr>0</vt:lpwstr>
  </property>
</Properties>
</file>